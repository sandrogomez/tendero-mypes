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Marco Regulatorio" sheetId="2" state="visible" r:id="rId4"/>
    <sheet name="Clientes" sheetId="3" state="visible" r:id="rId5"/>
    <sheet name="Nuevo Cliente" sheetId="4" state="visible" r:id="rId6"/>
    <sheet name="Cuentas" sheetId="5" state="visible" r:id="rId7"/>
    <sheet name="Libro Diario" sheetId="6" state="visible" r:id="rId8"/>
    <sheet name="Libro Mayor" sheetId="7" state="visible" r:id="rId9"/>
    <sheet name="Balance General" sheetId="8" state="visible" r:id="rId10"/>
    <sheet name="Estado Resultados" sheetId="9" state="visible" r:id="rId11"/>
    <sheet name="Indicadores" sheetId="10" state="visible" r:id="rId12"/>
    <sheet name="Flujo de Caja" sheetId="11" state="visible" r:id="rId13"/>
    <sheet name="Auditoría" sheetId="12" state="visible" r:id="rId14"/>
  </sheets>
  <definedNames>
    <definedName function="false" hidden="true" localSheetId="11" name="_xlnm._FilterDatabase" vbProcedure="false">Auditoría!$A$5:$J$24</definedName>
    <definedName function="false" hidden="false" localSheetId="1" name="_xlnm.Print_Area" vbProcedure="false">'Marco Regulatorio'!$A$1:$F$120</definedName>
    <definedName function="false" hidden="false" name="Codigos" vbProcedure="false">Cuentas!$B$4:$B$143</definedName>
    <definedName function="false" hidden="false" name="Final" vbProcedure="false">datos!$f$13</definedName>
    <definedName function="false" hidden="false" name="Glosas" vbProcedure="false">parametros!$g$2:$g$40</definedName>
    <definedName function="false" hidden="false" name="Inicial" vbProcedure="false">datos!$d$13</definedName>
    <definedName function="false" hidden="false" name="Meses" vbProcedure="false">parametros!$a$2:$b$13</definedName>
    <definedName function="false" hidden="false" name="Sucursales" vbProcedure="false">parametros!$i$2:$i$10</definedName>
    <definedName function="false" hidden="false" name="TipoCuentas" vbProcedure="false">parametros!$e$2:$e$5</definedName>
    <definedName function="false" hidden="false" name="Validarut" vbProcedure="false">datos!$f$4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<sst xmlns="http://schemas.openxmlformats.org/spreadsheetml/2006/main" count="2342" uniqueCount="1051">
  <si>
    <t xml:space="preserve">SISTEMA CONTABLE MULTI-CLIENTE  —  MYPE Chile</t>
  </si>
  <si>
    <t xml:space="preserve">Normativa: NIIF Pymes (BT N°82) · LIR D.L. 824 · D.L. 825 IVA · Sin Macros</t>
  </si>
  <si>
    <t xml:space="preserve">¿CÓMO EMPEZAR?  —  Siga estos pasos en orden</t>
  </si>
  <si>
    <t xml:space="preserve">1️⃣</t>
  </si>
  <si>
    <t xml:space="preserve">→  Clientes</t>
  </si>
  <si>
    <t xml:space="preserve">Registre sus clientes (RUT, razón social, giro). Use la hoja 'Nuevo Cliente' como formulario.</t>
  </si>
  <si>
    <t xml:space="preserve">2️⃣</t>
  </si>
  <si>
    <t xml:space="preserve">→  Cuentas</t>
  </si>
  <si>
    <t xml:space="preserve">Revise el Plan de Cuentas. Ya viene precargado con ~95 cuentas estándar por cliente.</t>
  </si>
  <si>
    <t xml:space="preserve">3️⃣</t>
  </si>
  <si>
    <t xml:space="preserve">→  Libro Diario</t>
  </si>
  <si>
    <t xml:space="preserve">Ingrese los asientos contables día a día. Cada asiento debe cuadrar (Debe = Haber).</t>
  </si>
  <si>
    <t xml:space="preserve">4️⃣</t>
  </si>
  <si>
    <t xml:space="preserve">→  Libro Mayor</t>
  </si>
  <si>
    <t xml:space="preserve">Consulte los saldos por cuenta. Se calculan automáticamente desde el Libro Diario.</t>
  </si>
  <si>
    <t xml:space="preserve">5️⃣</t>
  </si>
  <si>
    <t xml:space="preserve">→  Balance General</t>
  </si>
  <si>
    <t xml:space="preserve">Revise el Estado de Situación Financiera. Se genera automáticamente.</t>
  </si>
  <si>
    <t xml:space="preserve">6️⃣</t>
  </si>
  <si>
    <t xml:space="preserve">→  Estado Resultados</t>
  </si>
  <si>
    <t xml:space="preserve">Revise las utilidades o pérdidas del período. Se genera automáticamente.</t>
  </si>
  <si>
    <t xml:space="preserve">7️⃣</t>
  </si>
  <si>
    <t xml:space="preserve">→  Indicadores</t>
  </si>
  <si>
    <t xml:space="preserve">Consulte los KPIs financieros con semáforos (liquidez, deuda, rentabilidad).</t>
  </si>
  <si>
    <t xml:space="preserve">8️⃣</t>
  </si>
  <si>
    <t xml:space="preserve">→  Flujo de Caja</t>
  </si>
  <si>
    <t xml:space="preserve">Analice la salud de caja: runway, burn rate, punto de equilibrio.</t>
  </si>
  <si>
    <t xml:space="preserve">CONSEJOS IMPORTANTES</t>
  </si>
  <si>
    <t xml:space="preserve">💡</t>
  </si>
  <si>
    <t xml:space="preserve">Las celdas con fondo AMARILLO son editables. Las demás se calculan automáticamente — no las modifique.</t>
  </si>
  <si>
    <t xml:space="preserve">Cada asiento en el Libro Diario DEBE cuadrar: la suma del Debe = suma del Haber (partida doble).</t>
  </si>
  <si>
    <t xml:space="preserve">Use los filtros de Cliente y Año en la parte superior de cada hoja para cambiar la vista.</t>
  </si>
  <si>
    <t xml:space="preserve">Los indicadores con 🟢🟡🔴 se comparan contra benchmarks SERCOTEC/CMF para MYPE chilenas.</t>
  </si>
  <si>
    <t xml:space="preserve">Para auditar el archivo, pídale a Claude: 'audita la contabilidad' o 'revisa el programa contable'.</t>
  </si>
  <si>
    <t xml:space="preserve">Sistema contable para MYPE Chile — NIIF Pymes · LIR · D.L. 825 IVA · Ley 20.720 · CMF · SERCOTEC · CORFO — v2.0 (2025)</t>
  </si>
  <si>
    <t xml:space="preserve">AUTORES</t>
  </si>
  <si>
    <t xml:space="preserve">Sandro A. Gómez Araya</t>
  </si>
  <si>
    <t xml:space="preserve">Software Craftsman</t>
  </si>
  <si>
    <t xml:space="preserve">furiolabs.cl</t>
  </si>
  <si>
    <t xml:space="preserve">Danilo J. Gómez Araya</t>
  </si>
  <si>
    <t xml:space="preserve">Contador Auditor</t>
  </si>
  <si>
    <t xml:space="preserve">Este proyecto es parte de las iniciativas de experimentación e innovación de furiolabs.cl</t>
  </si>
  <si>
    <t xml:space="preserve">ADVERTENCIA LEGAL</t>
  </si>
  <si>
    <t xml:space="preserve">Este template es una herramienta de apoyo para la gestión contable interna. No reemplaza la asesoría de un contador público autorizado ni la revisión por un auditor independiente. Las tasas de impuesto y referencias normativas están actualizadas a marzo de 2026 y deben verificarse ante cambios legislativos.</t>
  </si>
  <si>
    <t xml:space="preserve">El usuario es responsable de la correcta aplicación de la normativa tributaria a su situación particular. Para declaraciones al SII (F-29, F-22, etc.), los formularios deben completarse en sii.cl. El uso de este template no genera responsabilidad alguna para sus autores.</t>
  </si>
  <si>
    <t xml:space="preserve">MARCO REGULATORIO Y PRÁCTICAS CONTABLES</t>
  </si>
  <si>
    <t xml:space="preserve">Documento de referencia: normativa vigente aplicada en este sistema contable para MYPE Chile.</t>
  </si>
  <si>
    <t xml:space="preserve">1.  NORMA CONTABLE: NIIF para Pymes (IFRS for SMEs)</t>
  </si>
  <si>
    <t xml:space="preserve">Obligatoria en Chile desde 2013 para entidades sin obligación pública de rendir cuentas (Boletín Técnico N°82, Colegio de Contadores A.G.). La 3ª edición de NIIF Pymes es aplicable desde el 1 de enero de 2027 (IASB 2024).</t>
  </si>
  <si>
    <t xml:space="preserve">Nº</t>
  </si>
  <si>
    <t xml:space="preserve">Sección NIIF</t>
  </si>
  <si>
    <t xml:space="preserve">Tema</t>
  </si>
  <si>
    <t xml:space="preserve">Aplicación en este sistema</t>
  </si>
  <si>
    <t xml:space="preserve">Hoja(s) afectada(s)</t>
  </si>
  <si>
    <t xml:space="preserve">Notas</t>
  </si>
  <si>
    <t xml:space="preserve">1</t>
  </si>
  <si>
    <t xml:space="preserve">Sec. 2</t>
  </si>
  <si>
    <t xml:space="preserve">Conceptos fundamentales</t>
  </si>
  <si>
    <t xml:space="preserve">Base de devengo (no caja); la partida doble rige todo el Libro Diario</t>
  </si>
  <si>
    <t xml:space="preserve">Libro Diario</t>
  </si>
  <si>
    <t xml:space="preserve">Cada asiento debe cuadrar: ΣDebe = ΣHaber</t>
  </si>
  <si>
    <t xml:space="preserve">2</t>
  </si>
  <si>
    <t xml:space="preserve">Sec. 3</t>
  </si>
  <si>
    <t xml:space="preserve">Presentación de EEFF</t>
  </si>
  <si>
    <t xml:space="preserve">Sistema genera 4 EEFF: Balance, EERR, Flujo de Caja, + Indicadores</t>
  </si>
  <si>
    <t xml:space="preserve">Todas</t>
  </si>
  <si>
    <t xml:space="preserve">Falta hoja de Notas a los EEFF (recomendable para presentación formal)</t>
  </si>
  <si>
    <t xml:space="preserve">3</t>
  </si>
  <si>
    <t xml:space="preserve">Sec. 4</t>
  </si>
  <si>
    <t xml:space="preserve">Estado de Situación Financiera</t>
  </si>
  <si>
    <t xml:space="preserve">Balance clasifica Corriente / No Corriente (plazo 12 meses)</t>
  </si>
  <si>
    <t xml:space="preserve">Balance General</t>
  </si>
  <si>
    <t xml:space="preserve">Activos: 1xxx / Pasivos: 2xxx / Patrimonio: 23xx</t>
  </si>
  <si>
    <t xml:space="preserve">4</t>
  </si>
  <si>
    <t xml:space="preserve">Sec. 5</t>
  </si>
  <si>
    <t xml:space="preserve">Estado de Resultado Integral</t>
  </si>
  <si>
    <t xml:space="preserve">Formato por función del gasto con ingresos, costos y gastos operacionales</t>
  </si>
  <si>
    <t xml:space="preserve">Estado Resultados</t>
  </si>
  <si>
    <t xml:space="preserve">Incluye Margen Bruto, EBITDA, Resultado antes de impuesto</t>
  </si>
  <si>
    <t xml:space="preserve">5</t>
  </si>
  <si>
    <t xml:space="preserve">Sec. 7</t>
  </si>
  <si>
    <t xml:space="preserve">Estado de Flujos de Efectivo</t>
  </si>
  <si>
    <t xml:space="preserve">Método indirecto, 3 secciones: Operación, Inversión, Financiamiento</t>
  </si>
  <si>
    <t xml:space="preserve">Flujo de Caja</t>
  </si>
  <si>
    <t xml:space="preserve">Cumple NIC 7 / NIIF Pymes Sec. 7</t>
  </si>
  <si>
    <t xml:space="preserve">6</t>
  </si>
  <si>
    <t xml:space="preserve">Sec. 10</t>
  </si>
  <si>
    <t xml:space="preserve">Políticas Contables</t>
  </si>
  <si>
    <t xml:space="preserve">Consistencia: mismas fórmulas SUMPRODUCT aplicadas uniformemente</t>
  </si>
  <si>
    <t xml:space="preserve">Las fórmulas no cambian entre períodos ni clientes</t>
  </si>
  <si>
    <t xml:space="preserve">7</t>
  </si>
  <si>
    <t xml:space="preserve">Sec. 17</t>
  </si>
  <si>
    <t xml:space="preserve">Propiedad, Planta y Equipo</t>
  </si>
  <si>
    <t xml:space="preserve">Costo histórico menos depreciación acumulada; cuentas reguladoras 12xxxxx</t>
  </si>
  <si>
    <t xml:space="preserve">Balance General, Cuentas</t>
  </si>
  <si>
    <t xml:space="preserve">Depreciación acumulada = cuenta con saldo acreedor dentro de Activo</t>
  </si>
  <si>
    <t xml:space="preserve">8</t>
  </si>
  <si>
    <t xml:space="preserve">Sec. 22</t>
  </si>
  <si>
    <t xml:space="preserve">Patrimonio</t>
  </si>
  <si>
    <t xml:space="preserve">Capital (2301001), Resultado del Ejercicio (2302001), Resultados Acumulados (2302101)</t>
  </si>
  <si>
    <t xml:space="preserve">Aportes de capital no constituyen renta (Art. 17 N°5 LIR)</t>
  </si>
  <si>
    <t xml:space="preserve">9</t>
  </si>
  <si>
    <t xml:space="preserve">Sec. 23</t>
  </si>
  <si>
    <t xml:space="preserve">Ingresos</t>
  </si>
  <si>
    <t xml:space="preserve">Reconocimiento cuando es probable y medible; cuentas 4xxx</t>
  </si>
  <si>
    <t xml:space="preserve">Ventas de bienes (4101001), servicios (4101002)</t>
  </si>
  <si>
    <t xml:space="preserve">10</t>
  </si>
  <si>
    <t xml:space="preserve">Sec. 27</t>
  </si>
  <si>
    <t xml:space="preserve">Deterioro del Valor</t>
  </si>
  <si>
    <t xml:space="preserve">No automatizado en este template; requiere evaluación manual al cierre</t>
  </si>
  <si>
    <t xml:space="preserve">—</t>
  </si>
  <si>
    <t xml:space="preserve">Verificar indicadores de deterioro en Activos Fijos</t>
  </si>
  <si>
    <t xml:space="preserve">11</t>
  </si>
  <si>
    <t xml:space="preserve">Sec. 28</t>
  </si>
  <si>
    <t xml:space="preserve">Beneficios a Empleados</t>
  </si>
  <si>
    <t xml:space="preserve">Provisión Vacaciones (2104001) incluida en plan de cuentas</t>
  </si>
  <si>
    <t xml:space="preserve">Cuentas, Balance</t>
  </si>
  <si>
    <t xml:space="preserve">Art. 67 Código del Trabajo; evaluar también IAS (Art. 163)</t>
  </si>
  <si>
    <t xml:space="preserve">12</t>
  </si>
  <si>
    <t xml:space="preserve">Sec. 29</t>
  </si>
  <si>
    <t xml:space="preserve">Impuesto a las Ganancias</t>
  </si>
  <si>
    <t xml:space="preserve">Impuesto 1ª Categoría calculado en Estado de Resultados</t>
  </si>
  <si>
    <t xml:space="preserve">Régimen Pro-Pyme 25% o General 27% (ver sección tributaria)</t>
  </si>
  <si>
    <t xml:space="preserve">2.  LEGISLACIÓN TRIBUTARIA CHILENA</t>
  </si>
  <si>
    <t xml:space="preserve">2.1  Ley de la Renta (D.L. 824 / LIR)</t>
  </si>
  <si>
    <t xml:space="preserve">Artículo</t>
  </si>
  <si>
    <t xml:space="preserve">Art. 14D</t>
  </si>
  <si>
    <t xml:space="preserve">Régimen Pro-Pyme</t>
  </si>
  <si>
    <t xml:space="preserve">Tasa de impuesto 12,5% Pro-Pyme 2025-2027 (Ley 21.755), 15% en 2028, 25% normal; o 27% General. El EERR calcula según régimen del cliente</t>
  </si>
  <si>
    <t xml:space="preserve">Ingresos ≤ 75.000 UF anuales → Pro-Pyme. Ley 21.755: tasa 12,5% (2025-2027)</t>
  </si>
  <si>
    <t xml:space="preserve">Art. 17 N°5</t>
  </si>
  <si>
    <t xml:space="preserve">Aportes de capital</t>
  </si>
  <si>
    <t xml:space="preserve">No constituyen renta; se registran como Capital (2301001), no como ingreso</t>
  </si>
  <si>
    <t xml:space="preserve">Libro Diario, Balance</t>
  </si>
  <si>
    <t xml:space="preserve">Asiento: Debe Caja/Bancos — Haber Capital</t>
  </si>
  <si>
    <t xml:space="preserve">Art. 29-33</t>
  </si>
  <si>
    <t xml:space="preserve">Base imponible (RLI)</t>
  </si>
  <si>
    <t xml:space="preserve">EERR llega a Resultado antes de Impuesto; se aplican agregados/deducciones Art. 33</t>
  </si>
  <si>
    <t xml:space="preserve">Gastos rechazados se agregan a la RLI</t>
  </si>
  <si>
    <t xml:space="preserve">Art. 31 N°1-7</t>
  </si>
  <si>
    <t xml:space="preserve">Gastos deducibles</t>
  </si>
  <si>
    <t xml:space="preserve">Gastos registrados en cuentas 3xxx deben cumplir requisitos de deducibilidad</t>
  </si>
  <si>
    <t xml:space="preserve">Libro Diario, EERR</t>
  </si>
  <si>
    <t xml:space="preserve">Pagados, necesarios para el giro, acreditados</t>
  </si>
  <si>
    <t xml:space="preserve">Art. 31 N°5</t>
  </si>
  <si>
    <t xml:space="preserve">Depreciación normal</t>
  </si>
  <si>
    <t xml:space="preserve">Tablas SII (Res. Ex. N°43/2002); vida útil según tipo de activo</t>
  </si>
  <si>
    <t xml:space="preserve">Depreciación acelerada = 1/3 de vida útil normal</t>
  </si>
  <si>
    <t xml:space="preserve">Art. 31 N°5 bis</t>
  </si>
  <si>
    <t xml:space="preserve">Depreciación instantánea</t>
  </si>
  <si>
    <t xml:space="preserve">100% en un ejercicio para bienes nuevos adquiridos por Pro-Pyme (Ley 21.210)</t>
  </si>
  <si>
    <t xml:space="preserve">Solo aplica régimen Pro-Pyme (Art. 14D)</t>
  </si>
  <si>
    <t xml:space="preserve">Art. 41</t>
  </si>
  <si>
    <t xml:space="preserve">Corrección monetaria</t>
  </si>
  <si>
    <t xml:space="preserve">No implementada automáticamente; requiere ajuste manual de cierre</t>
  </si>
  <si>
    <t xml:space="preserve">Actualización por IPC de activos y pasivos</t>
  </si>
  <si>
    <t xml:space="preserve">Art. 42 N°2</t>
  </si>
  <si>
    <t xml:space="preserve">Retención honorarios</t>
  </si>
  <si>
    <t xml:space="preserve">Tasa 2024: 13,75% (Ley 21.133 transitorio); sube a 17% en 2028</t>
  </si>
  <si>
    <t xml:space="preserve">Nota en celda de Asesorías y Honorarios</t>
  </si>
  <si>
    <t xml:space="preserve">Art. 84</t>
  </si>
  <si>
    <t xml:space="preserve">PPM</t>
  </si>
  <si>
    <t xml:space="preserve">Cuenta PPM (1107201) en plan de cuentas; se compensa contra impuesto anual</t>
  </si>
  <si>
    <t xml:space="preserve">Pagos provisionales mensuales</t>
  </si>
  <si>
    <t xml:space="preserve">2.2  Impuesto al Valor Agregado (D.L. 825)</t>
  </si>
  <si>
    <t xml:space="preserve">Art. 8</t>
  </si>
  <si>
    <t xml:space="preserve">Hecho gravado</t>
  </si>
  <si>
    <t xml:space="preserve">Ventas y servicios afectos se registran en cuentas 4xxx con IVA separado</t>
  </si>
  <si>
    <t xml:space="preserve">IVA = 19% sobre base imponible</t>
  </si>
  <si>
    <t xml:space="preserve">Art. 14</t>
  </si>
  <si>
    <t xml:space="preserve">Tasa vigente: 19%</t>
  </si>
  <si>
    <t xml:space="preserve">Cálculos de IVA en el sistema usan 19% como tasa fija</t>
  </si>
  <si>
    <t xml:space="preserve">Vigente 2024-2025</t>
  </si>
  <si>
    <t xml:space="preserve">Art. 23</t>
  </si>
  <si>
    <t xml:space="preserve">Crédito Fiscal</t>
  </si>
  <si>
    <t xml:space="preserve">Cuenta 1107101 (IVA Crédito Fiscal) registra IVA pagado en compras</t>
  </si>
  <si>
    <t xml:space="preserve">Cuentas, Libro Diario</t>
  </si>
  <si>
    <t xml:space="preserve">Activo Corriente; se compensa contra Débito Fiscal</t>
  </si>
  <si>
    <t xml:space="preserve">Art. 24</t>
  </si>
  <si>
    <t xml:space="preserve">Débito Fiscal</t>
  </si>
  <si>
    <t xml:space="preserve">Cuenta 2105101 (IVA Débito Fiscal) registra IVA cobrado en ventas</t>
  </si>
  <si>
    <t xml:space="preserve">Pasivo Corriente; se paga en F-29 mensual</t>
  </si>
  <si>
    <t xml:space="preserve">2.3  Legislación Laboral (Código del Trabajo)</t>
  </si>
  <si>
    <t xml:space="preserve">Art. 44</t>
  </si>
  <si>
    <t xml:space="preserve">Remuneración mínima</t>
  </si>
  <si>
    <t xml:space="preserve">Gasto remuneraciones (3103001); referencia: $500.000 (2025)</t>
  </si>
  <si>
    <t xml:space="preserve">Verificar monto vigente cada año</t>
  </si>
  <si>
    <t xml:space="preserve">Art. 67</t>
  </si>
  <si>
    <t xml:space="preserve">Feriado anual (vacaciones)</t>
  </si>
  <si>
    <t xml:space="preserve">Provisión Vacaciones (2104001) en plan de cuentas; pasivo corriente</t>
  </si>
  <si>
    <t xml:space="preserve">Derecho irrenunciable; NIIF Pymes Sec. 28</t>
  </si>
  <si>
    <t xml:space="preserve">Art. 163</t>
  </si>
  <si>
    <t xml:space="preserve">Indemnización por años</t>
  </si>
  <si>
    <t xml:space="preserve">Cuenta 2104002 (Provisión IAS) disponible si la empresa tiene política de pago</t>
  </si>
  <si>
    <t xml:space="preserve">Cuentas</t>
  </si>
  <si>
    <t xml:space="preserve">No obligatoria salvo política interna de la empresa</t>
  </si>
  <si>
    <t xml:space="preserve">3.  PRÁCTICAS CONTABLES IMPLEMENTADAS EN ESTE TEMPLATE</t>
  </si>
  <si>
    <t xml:space="preserve">3.1  Principios contables aplicados</t>
  </si>
  <si>
    <t xml:space="preserve">Principio</t>
  </si>
  <si>
    <t xml:space="preserve">Cómo se aplica en este template</t>
  </si>
  <si>
    <t xml:space="preserve">Fundamento normativo</t>
  </si>
  <si>
    <t xml:space="preserve">Partida Doble</t>
  </si>
  <si>
    <t xml:space="preserve">Todo registro en el Libro Diario tiene mínimo 2 líneas: un débito y un crédito de igual monto</t>
  </si>
  <si>
    <t xml:space="preserve">NIIF Marco Conceptual / Código de Comercio Art. 25</t>
  </si>
  <si>
    <t xml:space="preserve">Base de Devengo</t>
  </si>
  <si>
    <t xml:space="preserve">Los ingresos y gastos se reconocen cuando se producen, no cuando se cobran/pagan</t>
  </si>
  <si>
    <t xml:space="preserve">NIIF Pymes Sec. 2</t>
  </si>
  <si>
    <t xml:space="preserve">Moneda Funcional</t>
  </si>
  <si>
    <t xml:space="preserve">Todos los montos en Pesos Chilenos (CLP), sin decimales</t>
  </si>
  <si>
    <t xml:space="preserve">NIIF Pymes Sec. 30</t>
  </si>
  <si>
    <t xml:space="preserve">Entidad Separada</t>
  </si>
  <si>
    <t xml:space="preserve">Cada cliente es una entidad independiente; los datos se filtran por ID de cliente</t>
  </si>
  <si>
    <t xml:space="preserve">Empresa en Marcha</t>
  </si>
  <si>
    <t xml:space="preserve">Se asume continuidad operacional; los indicadores de Flujo de Caja alertan sobre riesgo</t>
  </si>
  <si>
    <t xml:space="preserve">NIIF Pymes Sec. 3.8 / Ley 20.720</t>
  </si>
  <si>
    <t xml:space="preserve">Consistencia</t>
  </si>
  <si>
    <t xml:space="preserve">Las mismas fórmulas y criterios se aplican uniformemente a todos los clientes y períodos</t>
  </si>
  <si>
    <t xml:space="preserve">NIIF Pymes Sec. 10</t>
  </si>
  <si>
    <t xml:space="preserve">Materialidad</t>
  </si>
  <si>
    <t xml:space="preserve">El sistema registra todas las transacciones; el umbral de materialidad lo define el contador</t>
  </si>
  <si>
    <t xml:space="preserve">NIIF Pymes Sec. 2.6</t>
  </si>
  <si>
    <t xml:space="preserve">Prudencia</t>
  </si>
  <si>
    <t xml:space="preserve">Los indicadores con semáforo 🔴 alertan sobre situaciones financieras adversas</t>
  </si>
  <si>
    <t xml:space="preserve">NIIF Marco Conceptual</t>
  </si>
  <si>
    <t xml:space="preserve">3.2  Estructura del Plan de Cuentas (PCGA Chile)</t>
  </si>
  <si>
    <t xml:space="preserve">Rango</t>
  </si>
  <si>
    <t xml:space="preserve">Tipo</t>
  </si>
  <si>
    <t xml:space="preserve">Naturaleza</t>
  </si>
  <si>
    <t xml:space="preserve">Saldo Normal</t>
  </si>
  <si>
    <t xml:space="preserve">Ejemplos</t>
  </si>
  <si>
    <t xml:space="preserve">Cuenta especial</t>
  </si>
  <si>
    <t xml:space="preserve">1000000–1999999</t>
  </si>
  <si>
    <t xml:space="preserve">ACTIVO</t>
  </si>
  <si>
    <t xml:space="preserve">Deudora</t>
  </si>
  <si>
    <t xml:space="preserve">Debe &gt; Haber</t>
  </si>
  <si>
    <t xml:space="preserve">Caja (1101001), Bancos (1101002), CxC (1104001), PPE (1201001)</t>
  </si>
  <si>
    <t xml:space="preserve">Dep. Acumulada: saldo acreedor (cuenta reguladora)</t>
  </si>
  <si>
    <t xml:space="preserve">2000000–2099999</t>
  </si>
  <si>
    <t xml:space="preserve">PASIVO CORRIENTE</t>
  </si>
  <si>
    <t xml:space="preserve">Acreedora</t>
  </si>
  <si>
    <t xml:space="preserve">Haber &gt; Debe</t>
  </si>
  <si>
    <t xml:space="preserve">Proveedores (2102001), Remuneraciones (2103001), IVA DF (2105101)</t>
  </si>
  <si>
    <t xml:space="preserve">2100000–2299999</t>
  </si>
  <si>
    <t xml:space="preserve">PASIVO NO CORRIENTE</t>
  </si>
  <si>
    <t xml:space="preserve">Deudas Bancarias LP (2201001), Préstamos LP (2201002)</t>
  </si>
  <si>
    <t xml:space="preserve">2300000–2399999</t>
  </si>
  <si>
    <t xml:space="preserve">PATRIMONIO</t>
  </si>
  <si>
    <t xml:space="preserve">Capital (2301001), Resultado Ejercicio (2302001), Acumulados (2302101)</t>
  </si>
  <si>
    <t xml:space="preserve">3000000–3999999</t>
  </si>
  <si>
    <t xml:space="preserve">GASTO / PÉRDIDA</t>
  </si>
  <si>
    <t xml:space="preserve">Costo Ventas (3101001), Remuneraciones (3103001), Arriendos (3103002)</t>
  </si>
  <si>
    <t xml:space="preserve">4000000–4999999</t>
  </si>
  <si>
    <t xml:space="preserve">INGRESO / GANANCIA</t>
  </si>
  <si>
    <t xml:space="preserve">Ventas Bienes (4101001), Servicios (4101002), Otros Ingresos (4201001)</t>
  </si>
  <si>
    <t xml:space="preserve">3.3  Motor de cálculo: fórmulas SUMPRODUCT</t>
  </si>
  <si>
    <t xml:space="preserve">Este template NO usa macros VBA. Todos los cálculos entre hojas se realizan mediante fórmulas SUMPRODUCT que filtran dinámicamente por ID de Cliente, Código de Cuenta y Año. Esto garantiza transparencia, auditabilidad y compatibilidad con cualquier versión de Excel.</t>
  </si>
  <si>
    <t xml:space="preserve">Patrón estándar: =SUMPRODUCT(('Libro Diario'!$A$10:$A$5000=cliente)*('Libro Diario'!$E$10:$E$5000=código)*(YEAR('Libro Diario'!$C$10:$C$5000)=año)*('Libro Diario'!$H$10:$H$5000))</t>
  </si>
  <si>
    <t xml:space="preserve">Las fórmulas usan rangos fijos ($A$10:$A$5000) para permitir hasta ~4.990 líneas de asientos por cliente sin modificar la estructura.</t>
  </si>
  <si>
    <t xml:space="preserve">3.4  Convenciones de presentación</t>
  </si>
  <si>
    <t xml:space="preserve">Elemento</t>
  </si>
  <si>
    <t xml:space="preserve">Cómo se presenta</t>
  </si>
  <si>
    <t xml:space="preserve">Descripción</t>
  </si>
  <si>
    <t xml:space="preserve">Celdas editables</t>
  </si>
  <si>
    <t xml:space="preserve">Fondo amarillo (FFF8E1)</t>
  </si>
  <si>
    <t xml:space="preserve">El usuario solo debe modificar celdas con fondo amarillo</t>
  </si>
  <si>
    <t xml:space="preserve">Celdas calculadas</t>
  </si>
  <si>
    <t xml:space="preserve">Fondo blanco o azul claro</t>
  </si>
  <si>
    <t xml:space="preserve">No modificar: contienen fórmulas que se actualizan automáticamente</t>
  </si>
  <si>
    <t xml:space="preserve">Filtros de cliente/año</t>
  </si>
  <si>
    <t xml:space="preserve">Parte superior de cada hoja</t>
  </si>
  <si>
    <t xml:space="preserve">Dropdowns con validación de datos desde la hoja Clientes</t>
  </si>
  <si>
    <t xml:space="preserve">Semáforos (indicadores)</t>
  </si>
  <si>
    <t xml:space="preserve">🟢 Bueno / 🟡 Precaución / 🔴 Crítico</t>
  </si>
  <si>
    <t xml:space="preserve">Umbrales basados en benchmarks SERCOTEC/CMF/CORFO para MYPE</t>
  </si>
  <si>
    <t xml:space="preserve">Notas normativas</t>
  </si>
  <si>
    <t xml:space="preserve">Celdas con fondo amarillo claro (FFFDE7)</t>
  </si>
  <si>
    <t xml:space="preserve">Citas de artículos y secciones de ley relevantes para cada sección</t>
  </si>
  <si>
    <t xml:space="preserve">Formato moneda</t>
  </si>
  <si>
    <t xml:space="preserve">CLP sin decimales, con separador de miles</t>
  </si>
  <si>
    <t xml:space="preserve">Formato: #,##0 o $#,##0 según contexto</t>
  </si>
  <si>
    <t xml:space="preserve">4.  INDICADORES FINANCIEROS — UMBRALES DE REFERENCIA</t>
  </si>
  <si>
    <t xml:space="preserve">Los umbrales utilizados en la hoja Indicadores y Flujo de Caja están basados en estándares SERCOTEC, CMF y CORFO para micro y pequeñas empresas chilenas. Pueden variar según sector.</t>
  </si>
  <si>
    <t xml:space="preserve">Indicador</t>
  </si>
  <si>
    <t xml:space="preserve">🟢 Bueno</t>
  </si>
  <si>
    <t xml:space="preserve">🟡 Precaución</t>
  </si>
  <si>
    <t xml:space="preserve">🔴 Crítico</t>
  </si>
  <si>
    <t xml:space="preserve">Fuente</t>
  </si>
  <si>
    <t xml:space="preserve">Hoja</t>
  </si>
  <si>
    <t xml:space="preserve">Razón Corriente</t>
  </si>
  <si>
    <t xml:space="preserve">≥ 1.5</t>
  </si>
  <si>
    <t xml:space="preserve">1.0 – 1.4</t>
  </si>
  <si>
    <t xml:space="preserve">&lt; 1.0</t>
  </si>
  <si>
    <t xml:space="preserve">SERCOTEC</t>
  </si>
  <si>
    <t xml:space="preserve">Indicadores</t>
  </si>
  <si>
    <t xml:space="preserve">Razón Ácida (Prueba Ácida)</t>
  </si>
  <si>
    <t xml:space="preserve">≥ 1.0</t>
  </si>
  <si>
    <t xml:space="preserve">0.7 – 0.9</t>
  </si>
  <si>
    <t xml:space="preserve">&lt; 0.7</t>
  </si>
  <si>
    <t xml:space="preserve">Razón de Efectivo</t>
  </si>
  <si>
    <t xml:space="preserve">≥ 0.3</t>
  </si>
  <si>
    <t xml:space="preserve">0.1 – 0.29</t>
  </si>
  <si>
    <t xml:space="preserve">&lt; 0.1</t>
  </si>
  <si>
    <t xml:space="preserve">Endeudamiento (P/A)</t>
  </si>
  <si>
    <t xml:space="preserve">≤ 0.5</t>
  </si>
  <si>
    <t xml:space="preserve">0.5 – 0.7</t>
  </si>
  <si>
    <t xml:space="preserve">&gt; 0.7</t>
  </si>
  <si>
    <t xml:space="preserve">CMF</t>
  </si>
  <si>
    <t xml:space="preserve">Deuda / Patrimonio (D/E)</t>
  </si>
  <si>
    <t xml:space="preserve">≤ 1.0</t>
  </si>
  <si>
    <t xml:space="preserve">1.0 – 2.0</t>
  </si>
  <si>
    <t xml:space="preserve">&gt; 2.0</t>
  </si>
  <si>
    <t xml:space="preserve">ROE</t>
  </si>
  <si>
    <t xml:space="preserve">≥ 10%</t>
  </si>
  <si>
    <t xml:space="preserve">5 – 10%</t>
  </si>
  <si>
    <t xml:space="preserve">&lt; 5%</t>
  </si>
  <si>
    <t xml:space="preserve">CORFO</t>
  </si>
  <si>
    <t xml:space="preserve">Margen Bruto</t>
  </si>
  <si>
    <t xml:space="preserve">≥ 30%</t>
  </si>
  <si>
    <t xml:space="preserve">15 – 30%</t>
  </si>
  <si>
    <t xml:space="preserve">&lt; 15%</t>
  </si>
  <si>
    <t xml:space="preserve">Runway (meses)</t>
  </si>
  <si>
    <t xml:space="preserve">≥ 3</t>
  </si>
  <si>
    <t xml:space="preserve">1 – 3</t>
  </si>
  <si>
    <t xml:space="preserve">&lt; 1</t>
  </si>
  <si>
    <t xml:space="preserve">Ciclo Conversión Efectivo</t>
  </si>
  <si>
    <t xml:space="preserve">≤ 30 días</t>
  </si>
  <si>
    <t xml:space="preserve">30 – 60 días</t>
  </si>
  <si>
    <t xml:space="preserve">&gt; 60 días</t>
  </si>
  <si>
    <t xml:space="preserve">DSCR (Cobertura deuda)</t>
  </si>
  <si>
    <t xml:space="preserve">≥ 1.25</t>
  </si>
  <si>
    <t xml:space="preserve">1.0 – 1.24</t>
  </si>
  <si>
    <t xml:space="preserve">Banca comercial</t>
  </si>
  <si>
    <t xml:space="preserve">5.  DECLARACIONES Y OBLIGACIONES SII</t>
  </si>
  <si>
    <t xml:space="preserve">Este template prepara la información contable necesaria para las siguientes declaraciones. La generación del formulario electrónico se realiza en el portal SII (sii.cl).</t>
  </si>
  <si>
    <t xml:space="preserve">Formulario</t>
  </si>
  <si>
    <t xml:space="preserve">Frecuencia</t>
  </si>
  <si>
    <t xml:space="preserve">Plazo</t>
  </si>
  <si>
    <t xml:space="preserve">Dato del template</t>
  </si>
  <si>
    <t xml:space="preserve">Hojas fuente</t>
  </si>
  <si>
    <t xml:space="preserve">F-29</t>
  </si>
  <si>
    <t xml:space="preserve">IVA y Pagos Provisionales Mensuales</t>
  </si>
  <si>
    <t xml:space="preserve">Mensual</t>
  </si>
  <si>
    <t xml:space="preserve">Día 12 del mes siguiente</t>
  </si>
  <si>
    <t xml:space="preserve">IVA CF/DF, PPM, retenciones</t>
  </si>
  <si>
    <t xml:space="preserve">F-22</t>
  </si>
  <si>
    <t xml:space="preserve">Declaración de Renta Anual</t>
  </si>
  <si>
    <t xml:space="preserve">Anual</t>
  </si>
  <si>
    <t xml:space="preserve">Abril (plazo máximo junio)</t>
  </si>
  <si>
    <t xml:space="preserve">Ingresos, gastos, RLI, impuesto</t>
  </si>
  <si>
    <t xml:space="preserve">F-50</t>
  </si>
  <si>
    <t xml:space="preserve">Retenciones de honorarios</t>
  </si>
  <si>
    <t xml:space="preserve">Retenciones Art. 42 N°2</t>
  </si>
  <si>
    <t xml:space="preserve">DJ 1879</t>
  </si>
  <si>
    <t xml:space="preserve">Retenciones honorarios anuales</t>
  </si>
  <si>
    <t xml:space="preserve">Marzo</t>
  </si>
  <si>
    <t xml:space="preserve">Detalle anual retenciones</t>
  </si>
  <si>
    <t xml:space="preserve">DJ 1887</t>
  </si>
  <si>
    <t xml:space="preserve">Sueldos y otras rentas</t>
  </si>
  <si>
    <t xml:space="preserve">Detalle remuneraciones</t>
  </si>
  <si>
    <t xml:space="preserve">I001/I002</t>
  </si>
  <si>
    <t xml:space="preserve">Balance de 8 Columnas SII</t>
  </si>
  <si>
    <t xml:space="preserve">Junto con F-22</t>
  </si>
  <si>
    <t xml:space="preserve">Saldos por cuenta</t>
  </si>
  <si>
    <t xml:space="preserve">Balance General, L. Mayor</t>
  </si>
  <si>
    <t xml:space="preserve">6.  REFERENCIAS LEGALES ADICIONALES</t>
  </si>
  <si>
    <t xml:space="preserve">Norma</t>
  </si>
  <si>
    <t xml:space="preserve">Relación con este template</t>
  </si>
  <si>
    <t xml:space="preserve">Ley 20.720</t>
  </si>
  <si>
    <t xml:space="preserve">Ley de Insolvencia y Reestructuración</t>
  </si>
  <si>
    <t xml:space="preserve">Los indicadores de Flujo de Caja (Runway, Razón Corriente) ayudan a detectar estado de insolvencia tempranamente</t>
  </si>
  <si>
    <t xml:space="preserve">Código de Comercio Art. 25</t>
  </si>
  <si>
    <t xml:space="preserve">Obligación de llevar libros contables</t>
  </si>
  <si>
    <t xml:space="preserve">El Libro Diario cumple la obligación legal de registrar operaciones cronológicamente</t>
  </si>
  <si>
    <t xml:space="preserve">Ley 20.780 / 21.210</t>
  </si>
  <si>
    <t xml:space="preserve">Reforma Tributaria 2014/2020</t>
  </si>
  <si>
    <t xml:space="preserve">Derogación del FUT, creación del RAI. Solo aplica RAI en este sistema</t>
  </si>
  <si>
    <t xml:space="preserve">Ley 21.133</t>
  </si>
  <si>
    <t xml:space="preserve">Reforma honorarios</t>
  </si>
  <si>
    <t xml:space="preserve">Retención progresiva: 14,5% (2025) → 15,25% (2026) → 16% (2027) → 17% (2028+)</t>
  </si>
  <si>
    <t xml:space="preserve">Res. Ex. SII N°43/2002</t>
  </si>
  <si>
    <t xml:space="preserve">Tablas de vida útil</t>
  </si>
  <si>
    <t xml:space="preserve">Referencia para depreciación de activos fijos en las notas del Balance General</t>
  </si>
  <si>
    <t xml:space="preserve">BT N°82 (CCA)</t>
  </si>
  <si>
    <t xml:space="preserve">Adopción NIIF Pymes en Chile</t>
  </si>
  <si>
    <t xml:space="preserve">Base normativa contable: NIIF para Pymes, Boletín Técnico del Colegio de Contadores A.G.</t>
  </si>
  <si>
    <t xml:space="preserve">Este documento es parte del Sistema Contable Multi-Cliente MYPE Chile v2.0 (2025). Mantenga actualizado ante cambios en la normativa vigente.</t>
  </si>
  <si>
    <t xml:space="preserve">REGISTRO DE CLIENTES</t>
  </si>
  <si>
    <t xml:space="preserve">📝 Ingrese un cliente por fila. El ID (ej: CLI001) se usa en todas las demás hojas. Use la hoja 'Nuevo Cliente' como formulario de ingreso, o escriba directamente aquí.</t>
  </si>
  <si>
    <t xml:space="preserve">ID Cliente</t>
  </si>
  <si>
    <t xml:space="preserve">RUT</t>
  </si>
  <si>
    <t xml:space="preserve">Razón Social</t>
  </si>
  <si>
    <t xml:space="preserve">Giro</t>
  </si>
  <si>
    <t xml:space="preserve">Domicilio</t>
  </si>
  <si>
    <t xml:space="preserve">Comuna</t>
  </si>
  <si>
    <t xml:space="preserve">Representante Legal</t>
  </si>
  <si>
    <t xml:space="preserve">RUT Rep.Legal</t>
  </si>
  <si>
    <t xml:space="preserve">Teléfono</t>
  </si>
  <si>
    <t xml:space="preserve">E-mail</t>
  </si>
  <si>
    <t xml:space="preserve">CLI001</t>
  </si>
  <si>
    <t xml:space="preserve">76.000.000-0</t>
  </si>
  <si>
    <t xml:space="preserve">← Ingrese aquí su primer cliente</t>
  </si>
  <si>
    <t xml:space="preserve">FORMULARIO DE REGISTRO DE CLIENTE</t>
  </si>
  <si>
    <t xml:space="preserve">📝 Complete los campos amarillos y luego copie la fila de Vista Previa (fila 20) a la hoja CLIENTES. Los campos con borde amarillo son editables.</t>
  </si>
  <si>
    <t xml:space="preserve">Ej: CLI004 — identificador único</t>
  </si>
  <si>
    <t xml:space="preserve">Formato: 76.543.210-K</t>
  </si>
  <si>
    <t xml:space="preserve">Nombre legal de la empresa</t>
  </si>
  <si>
    <t xml:space="preserve">Actividad económica principal</t>
  </si>
  <si>
    <t xml:space="preserve">Calle, número</t>
  </si>
  <si>
    <t xml:space="preserve">Nombre completo</t>
  </si>
  <si>
    <t xml:space="preserve">RUT Rep. Legal</t>
  </si>
  <si>
    <t xml:space="preserve">Formato: 12.345.678-9</t>
  </si>
  <si>
    <t xml:space="preserve">Ej: (56-2) 2345 6789</t>
  </si>
  <si>
    <t xml:space="preserve">Correo de contacto</t>
  </si>
  <si>
    <t xml:space="preserve">▶  Para agregar: copie la fila de datos ingresados y péguela en la hoja CLIENTES</t>
  </si>
  <si>
    <t xml:space="preserve">VISTA PREVIA — Fila a copiar en hoja CLIENTES</t>
  </si>
  <si>
    <t xml:space="preserve">PLAN DE CUENTAS — MULTI-CLIENTE</t>
  </si>
  <si>
    <t xml:space="preserve">📝 Cada cliente tiene su propio plan de cuentas (~95 cuentas estándar PCGA Chile). Puede agregar cuentas nuevas usando el formulario de la fila 4, o directamente en la tabla. Los códigos siguen: 1xxx=Activo, 2xxx=Pasivo, 3xxx=Gasto, 4xxx=Ingreso.</t>
  </si>
  <si>
    <t xml:space="preserve">AGREGAR NUEVA CUENTA</t>
  </si>
  <si>
    <t xml:space="preserve">Cliente:</t>
  </si>
  <si>
    <t xml:space="preserve">Código:</t>
  </si>
  <si>
    <t xml:space="preserve">Nombre Cuenta:</t>
  </si>
  <si>
    <t xml:space="preserve">Tipo:</t>
  </si>
  <si>
    <t xml:space="preserve">↑ Complete los campos y copie manualmente la fila de datos en la tabla inferior. El Código debe ser único por cliente.</t>
  </si>
  <si>
    <t xml:space="preserve">Código Cuenta</t>
  </si>
  <si>
    <t xml:space="preserve">Nombre Cuenta</t>
  </si>
  <si>
    <t xml:space="preserve">Cód. Tipo</t>
  </si>
  <si>
    <t xml:space="preserve">Subtipo/Clasificación</t>
  </si>
  <si>
    <t xml:space="preserve">Activo en Uso</t>
  </si>
  <si>
    <t xml:space="preserve">Caja</t>
  </si>
  <si>
    <t xml:space="preserve">Sí</t>
  </si>
  <si>
    <t xml:space="preserve">Bancos</t>
  </si>
  <si>
    <t xml:space="preserve">Clientes Varios</t>
  </si>
  <si>
    <t xml:space="preserve">Retiros Acumulados-Ej. Anteriores.</t>
  </si>
  <si>
    <t xml:space="preserve">Cta. Cte. SOCIO</t>
  </si>
  <si>
    <t xml:space="preserve">Impuestos por Recuperar - Renta</t>
  </si>
  <si>
    <t xml:space="preserve">Impuestos por Recuperar - IVA</t>
  </si>
  <si>
    <t xml:space="preserve">Imposiciones por Recuperar</t>
  </si>
  <si>
    <t xml:space="preserve">IVA Crédito Fiscal 19%</t>
  </si>
  <si>
    <t xml:space="preserve">IVA Crédito Fiscal no Retenido 11%</t>
  </si>
  <si>
    <t xml:space="preserve">P.P.M.</t>
  </si>
  <si>
    <t xml:space="preserve">Credito Diessel Transporte Carga</t>
  </si>
  <si>
    <t xml:space="preserve">Art. 33 bis (4%) Activo Fijo</t>
  </si>
  <si>
    <t xml:space="preserve">Contribuciones Bienes Raices- Credito</t>
  </si>
  <si>
    <t xml:space="preserve">Pagos Provisionales por Utilidades Absorbidas</t>
  </si>
  <si>
    <t xml:space="preserve">Credito Sence</t>
  </si>
  <si>
    <t xml:space="preserve">Mercaderías</t>
  </si>
  <si>
    <t xml:space="preserve">Materia Prima e Insumos</t>
  </si>
  <si>
    <t xml:space="preserve">Intereses diferidos Corto Plazo</t>
  </si>
  <si>
    <t xml:space="preserve">Vehiculos de Carga</t>
  </si>
  <si>
    <t xml:space="preserve">Dep.Acum.Vehiculos de Carga</t>
  </si>
  <si>
    <t xml:space="preserve">PASIVO</t>
  </si>
  <si>
    <t xml:space="preserve">Otros Vehiculos de Trabajo</t>
  </si>
  <si>
    <t xml:space="preserve">Dep. Acum. Vehículos</t>
  </si>
  <si>
    <t xml:space="preserve">Remolques , carros</t>
  </si>
  <si>
    <t xml:space="preserve">Dep.Acum.Remolques, carros</t>
  </si>
  <si>
    <t xml:space="preserve">Vehiculos</t>
  </si>
  <si>
    <t xml:space="preserve">Vehiculos en Leasing</t>
  </si>
  <si>
    <t xml:space="preserve">Dif.Valor Comercial Vehiculos</t>
  </si>
  <si>
    <t xml:space="preserve">Gruas</t>
  </si>
  <si>
    <t xml:space="preserve">Tractores</t>
  </si>
  <si>
    <t xml:space="preserve">Maquinas y equipos</t>
  </si>
  <si>
    <t xml:space="preserve">Equipos Computacionales y relacionados</t>
  </si>
  <si>
    <t xml:space="preserve">Dep.Acum.Maquinas y Equipos</t>
  </si>
  <si>
    <t xml:space="preserve">Maquinarias y Equipos en Leasing</t>
  </si>
  <si>
    <t xml:space="preserve">Terrenos</t>
  </si>
  <si>
    <t xml:space="preserve">Construcciones</t>
  </si>
  <si>
    <t xml:space="preserve">Dep. Acum. Construcciones</t>
  </si>
  <si>
    <t xml:space="preserve">Muebles , Utiles e Instalaciones</t>
  </si>
  <si>
    <t xml:space="preserve">Dep. Acum. Muebles, Útiles e Instalaciones</t>
  </si>
  <si>
    <t xml:space="preserve">Repuestos e Insumos</t>
  </si>
  <si>
    <t xml:space="preserve">Intereses Diferidos Largo Plazo</t>
  </si>
  <si>
    <t xml:space="preserve">Derechos Soc. Forestal Los Cipreces Ltda.</t>
  </si>
  <si>
    <t xml:space="preserve">Proveedores</t>
  </si>
  <si>
    <t xml:space="preserve">Documentos por Pagar-Vehiculos</t>
  </si>
  <si>
    <t xml:space="preserve">Provisión Vacaciones</t>
  </si>
  <si>
    <t xml:space="preserve">Doctos. Por Pagar</t>
  </si>
  <si>
    <t xml:space="preserve">Impuesto Único a los trabajadores</t>
  </si>
  <si>
    <t xml:space="preserve">PPM por Pagar</t>
  </si>
  <si>
    <t xml:space="preserve">Provision Impto. Renta</t>
  </si>
  <si>
    <t xml:space="preserve">Contribuciones por Pagar</t>
  </si>
  <si>
    <t xml:space="preserve">IVA Débito Fiscal 19%</t>
  </si>
  <si>
    <t xml:space="preserve">IVA Debito Fiscal no Ret 11%</t>
  </si>
  <si>
    <t xml:space="preserve">Retencion 2ª Categoria (10 %)</t>
  </si>
  <si>
    <t xml:space="preserve">IVA Compras Retenido a Terceros</t>
  </si>
  <si>
    <t xml:space="preserve">Sueldos por Pagar</t>
  </si>
  <si>
    <t xml:space="preserve">Honorarios por Pagar</t>
  </si>
  <si>
    <t xml:space="preserve">Instituciones de Prevision</t>
  </si>
  <si>
    <t xml:space="preserve">Préstamos de Socios</t>
  </si>
  <si>
    <t xml:space="preserve">Acreedores Varios</t>
  </si>
  <si>
    <t xml:space="preserve">Prestamos Banco Largo Plazo</t>
  </si>
  <si>
    <t xml:space="preserve">Acreedores Leasing Largo Plazo</t>
  </si>
  <si>
    <t xml:space="preserve">Capital</t>
  </si>
  <si>
    <t xml:space="preserve">Revalorización Capital Propio</t>
  </si>
  <si>
    <t xml:space="preserve">Resultado Ej. Anteriores</t>
  </si>
  <si>
    <t xml:space="preserve">Resultado del Ejercicio</t>
  </si>
  <si>
    <t xml:space="preserve">Costo de Ventas</t>
  </si>
  <si>
    <t xml:space="preserve">PERDIDA</t>
  </si>
  <si>
    <t xml:space="preserve">Gastos Administracion</t>
  </si>
  <si>
    <t xml:space="preserve">Combustibles y Mant. Vehiculos</t>
  </si>
  <si>
    <t xml:space="preserve">Capacitación y Perfeccionamiento</t>
  </si>
  <si>
    <t xml:space="preserve">Remuneraciones</t>
  </si>
  <si>
    <t xml:space="preserve">Asesorias y Honorarios Profesionales</t>
  </si>
  <si>
    <t xml:space="preserve">Gastos Varios</t>
  </si>
  <si>
    <t xml:space="preserve">Fletes y Combustibles</t>
  </si>
  <si>
    <t xml:space="preserve">Gastos Repuestos</t>
  </si>
  <si>
    <t xml:space="preserve">Gastos Basicos</t>
  </si>
  <si>
    <t xml:space="preserve">Gastos de Administración</t>
  </si>
  <si>
    <t xml:space="preserve">Publicidad</t>
  </si>
  <si>
    <t xml:space="preserve">Arriendos</t>
  </si>
  <si>
    <t xml:space="preserve">Seguros</t>
  </si>
  <si>
    <t xml:space="preserve">Gastos Financieros</t>
  </si>
  <si>
    <t xml:space="preserve">Impuesto 1a Categoria</t>
  </si>
  <si>
    <t xml:space="preserve">Servicios incobrables</t>
  </si>
  <si>
    <t xml:space="preserve">Patentes y Derechos Municipales</t>
  </si>
  <si>
    <t xml:space="preserve">Otros Impuestos</t>
  </si>
  <si>
    <t xml:space="preserve">Depreciacion Vehiculos</t>
  </si>
  <si>
    <t xml:space="preserve">Depreciacion</t>
  </si>
  <si>
    <t xml:space="preserve">Depreciacion Carros y Remolques</t>
  </si>
  <si>
    <t xml:space="preserve">Depreciacion Muebles, Utiles e Instalaciones</t>
  </si>
  <si>
    <t xml:space="preserve">Correccion Monetaria</t>
  </si>
  <si>
    <t xml:space="preserve">Ventas</t>
  </si>
  <si>
    <t xml:space="preserve">GANANCIA</t>
  </si>
  <si>
    <t xml:space="preserve">Descuentos ganados</t>
  </si>
  <si>
    <t xml:space="preserve">Otros IngresosResultado Venta Avtivo Fijo</t>
  </si>
  <si>
    <t xml:space="preserve">Otros Ingresos</t>
  </si>
  <si>
    <t xml:space="preserve">CLI002</t>
  </si>
  <si>
    <t xml:space="preserve">CLI003</t>
  </si>
  <si>
    <t xml:space="preserve">LIBRO DIARIO — INGRESO DE ASIENTOS CONTABLES</t>
  </si>
  <si>
    <t xml:space="preserve">📝 INSTRUCCIONES: (1) Seleccione Cliente en A5  (2) Ingrese Nº Asiento, Fecha, Código de Cuenta, Glosa, y montos en Debe o Haber  (3) Cada asiento DEBE cuadrar: Σ Debe = Σ Haber  (4) La fila 6 muestra si el asiento cuadra ✓ o no ✗</t>
  </si>
  <si>
    <t xml:space="preserve">INGRESAR NUEVO ASIENTO</t>
  </si>
  <si>
    <t xml:space="preserve">Cliente</t>
  </si>
  <si>
    <t xml:space="preserve">Nº Asiento</t>
  </si>
  <si>
    <t xml:space="preserve">Fecha</t>
  </si>
  <si>
    <t xml:space="preserve">Glosa General</t>
  </si>
  <si>
    <t xml:space="preserve">Cuenta (Cód.)</t>
  </si>
  <si>
    <t xml:space="preserve">Detalle</t>
  </si>
  <si>
    <t xml:space="preserve">Debe (CLP)</t>
  </si>
  <si>
    <t xml:space="preserve">Haber (CLP)</t>
  </si>
  <si>
    <t xml:space="preserve">Sucursal</t>
  </si>
  <si>
    <t xml:space="preserve">TOTALES DEL ASIENTO INGRESADO →</t>
  </si>
  <si>
    <t xml:space="preserve">FILTRO ACTIVO — Escriba un ID de cliente en B8 para filtrar (ej: CLI001), o "TODOS" para ver todos los asientos</t>
  </si>
  <si>
    <t xml:space="preserve">Mes</t>
  </si>
  <si>
    <t xml:space="preserve">Código Cta.</t>
  </si>
  <si>
    <t xml:space="preserve">Glosa / Detalle</t>
  </si>
  <si>
    <t xml:space="preserve">← Ingrese su primer asiento aquí</t>
  </si>
  <si>
    <t xml:space="preserve">LIBRO MAYOR — RESUMEN POR CUENTA</t>
  </si>
  <si>
    <t xml:space="preserve">📊 Este resumen se calcula AUTOMÁTICAMENTE desde el Libro Diario. Cambie el Cliente y Año en los campos amarillos de arriba para consultar otro período. No modifique las celdas de datos — son fórmulas.</t>
  </si>
  <si>
    <t xml:space="preserve">FILTROS DE CONSULTA</t>
  </si>
  <si>
    <t xml:space="preserve">Período (Año):</t>
  </si>
  <si>
    <t xml:space="preserve">← Escriba el ID de cliente y el año a consultar</t>
  </si>
  <si>
    <t xml:space="preserve">Tratamiento</t>
  </si>
  <si>
    <t xml:space="preserve">Total Debe</t>
  </si>
  <si>
    <t xml:space="preserve">Total Haber</t>
  </si>
  <si>
    <t xml:space="preserve">Saldo Deudor</t>
  </si>
  <si>
    <t xml:space="preserve">Saldo Acreedor</t>
  </si>
  <si>
    <t xml:space="preserve">Saldo Final</t>
  </si>
  <si>
    <t xml:space="preserve">Las fórmulas calculan automáticamente desde Libro Diario filtrando por el Cliente y Período seleccionados arriba.</t>
  </si>
  <si>
    <t xml:space="preserve">TOTALES</t>
  </si>
  <si>
    <t xml:space="preserve">BALANCE GENERAL — ESTADO DE SITUACIÓN FINANCIERA</t>
  </si>
  <si>
    <t xml:space="preserve">⚖  NORMATIVA: NIIF para Pymes — obligatoria en Chile desde 2013 (Boletín Técnico N°82, Colegio de Contadores A.G.). Empresas con ingresos &gt; 100.000 UF aplican NIIF Completas bajo supervisión CMF. Estructura clasificada Corriente/No Corriente según Sección 4 NIIF Pymes. Tercera edición NIIF Pymes aplicable desde el 1 de enero de 2027. Para fines tributarios: Balance de 8 Columnas — Formulario I001 (Grandes/Medianas) o I002 (Micro/Pequeñas), presentado con F-22 antes del 30 de junio.</t>
  </si>
  <si>
    <t xml:space="preserve">RUBRO / CUENTA</t>
  </si>
  <si>
    <t xml:space="preserve">MONTO ($)</t>
  </si>
  <si>
    <t xml:space="preserve">  A C T I V O S</t>
  </si>
  <si>
    <t xml:space="preserve">    ACTIVO CORRIENTE</t>
  </si>
  <si>
    <t xml:space="preserve">Sec. 4.5 NIIF Pymes: Activos cuya realización se espera dentro de 12 meses o del ciclo normal de operación.</t>
  </si>
  <si>
    <t xml:space="preserve">    Efectivo y Equivalentes — Caja</t>
  </si>
  <si>
    <t xml:space="preserve">Sec. 7 NIIF Pymes | Activo más líquido</t>
  </si>
  <si>
    <t xml:space="preserve">    Efectivo y Equivalentes — Bancos</t>
  </si>
  <si>
    <t xml:space="preserve">Sec. 7 NIIF Pymes | Incluye depósitos vista</t>
  </si>
  <si>
    <t xml:space="preserve">    Cuentas por Cobrar Comerciales</t>
  </si>
  <si>
    <t xml:space="preserve">Sec. 11 NIIF Pymes | Valor neto de recuperación</t>
  </si>
  <si>
    <t xml:space="preserve">    Retiros Acumulados Ej. Anteriores</t>
  </si>
  <si>
    <t xml:space="preserve">PCGA Chile | Cuenta socios</t>
  </si>
  <si>
    <t xml:space="preserve">    Cta. Cte. Socio (1)</t>
  </si>
  <si>
    <t xml:space="preserve">Sec. 22 NIIF Pymes | Partes relacionadas</t>
  </si>
  <si>
    <t xml:space="preserve">    Cta. Cte. Socio (2)</t>
  </si>
  <si>
    <t xml:space="preserve">    IVA Crédito Fiscal 19%</t>
  </si>
  <si>
    <t xml:space="preserve">Art. 23 D.L. 825 | Recuperable F-29</t>
  </si>
  <si>
    <t xml:space="preserve">    IVA CF No Retenido 11%</t>
  </si>
  <si>
    <t xml:space="preserve">Art. 11 D.L. 825 | Retención parcial</t>
  </si>
  <si>
    <t xml:space="preserve">    PPM (Pagos Prov. Mensuales)</t>
  </si>
  <si>
    <t xml:space="preserve">Art. 84 LIR | Crédito Impuesto 1ª Cat.</t>
  </si>
  <si>
    <t xml:space="preserve">    Crédito Diesel Transporte Carga</t>
  </si>
  <si>
    <t xml:space="preserve">Art. 7° Ley 18.502</t>
  </si>
  <si>
    <t xml:space="preserve">    Art. 33 bis (4%) Activo Fijo</t>
  </si>
  <si>
    <t xml:space="preserve">Art. 33 bis LIR | Crédito inversión AF</t>
  </si>
  <si>
    <t xml:space="preserve">    Contrib. Bienes Raíces — Crédito</t>
  </si>
  <si>
    <t xml:space="preserve">Art. 33 bis LIR</t>
  </si>
  <si>
    <t xml:space="preserve">    PPUA</t>
  </si>
  <si>
    <t xml:space="preserve">Art. 31 N°3 LIR | Pérdidas tributarias</t>
  </si>
  <si>
    <t xml:space="preserve">    Crédito SENCE</t>
  </si>
  <si>
    <t xml:space="preserve">Ley 19.518 | Recuperable F-29</t>
  </si>
  <si>
    <t xml:space="preserve">    Mercaderías</t>
  </si>
  <si>
    <t xml:space="preserve">Sec. 13 NIIF Pymes | Min(costo, VNR)</t>
  </si>
  <si>
    <t xml:space="preserve">    Materia Prima e Insumos</t>
  </si>
  <si>
    <t xml:space="preserve">Sec. 13 NIIF Pymes | FIFO o CMP</t>
  </si>
  <si>
    <t xml:space="preserve">    Intereses Diferidos CP</t>
  </si>
  <si>
    <t xml:space="preserve">Sec. 11 NIIF Pymes | Costo amortizado</t>
  </si>
  <si>
    <t xml:space="preserve">TOTAL ACTIVO CORRIENTE</t>
  </si>
  <si>
    <t xml:space="preserve">    ACTIVO NO CORRIENTE</t>
  </si>
  <si>
    <t xml:space="preserve">Sec. 4.5 NIIF Pymes: Activos no corrientes. Se presentan netos de depreciación acumulada. Terrenos no se deprecian (Sec. 17.15). Leasing financiero se activa (Sec. 20.9).</t>
  </si>
  <si>
    <t xml:space="preserve">    Vehículos de Carga (Bruto)</t>
  </si>
  <si>
    <t xml:space="preserve">Sec. 17 NIIF Pymes | Modelo del Costo</t>
  </si>
  <si>
    <t xml:space="preserve">    (-) Dep. Acum. Vehículos de Carga</t>
  </si>
  <si>
    <t xml:space="preserve">SII: vida útil 7 años (Res. Ex. 43/2002)</t>
  </si>
  <si>
    <t xml:space="preserve">    Otros Vehículos (Bruto)</t>
  </si>
  <si>
    <t xml:space="preserve">Sec. 17 NIIF Pymes</t>
  </si>
  <si>
    <t xml:space="preserve">    (-) Dep. Acum. Otros Vehículos</t>
  </si>
  <si>
    <t xml:space="preserve">SII: tabla vida útil Res. Ex. 43/2002</t>
  </si>
  <si>
    <t xml:space="preserve">    Remolques y Carros (Bruto)</t>
  </si>
  <si>
    <t xml:space="preserve">    (-) Dep. Acum. Remolques</t>
  </si>
  <si>
    <t xml:space="preserve">SII: según tabla de vida útil</t>
  </si>
  <si>
    <t xml:space="preserve">    Vehículos (Bruto)</t>
  </si>
  <si>
    <t xml:space="preserve">    Vehículos en Leasing</t>
  </si>
  <si>
    <t xml:space="preserve">Sec. 20 NIIF Pymes | Activo arrendado</t>
  </si>
  <si>
    <t xml:space="preserve">    Dif. Valor Comercial Vehículos</t>
  </si>
  <si>
    <t xml:space="preserve">Ajuste valor libro vs. comercial</t>
  </si>
  <si>
    <t xml:space="preserve">    Grúas (Bruto)</t>
  </si>
  <si>
    <t xml:space="preserve">    Tractores (Bruto)</t>
  </si>
  <si>
    <t xml:space="preserve">    Máquinas y Equipos (Bruto)</t>
  </si>
  <si>
    <t xml:space="preserve">    Equipos Computacionales (Bruto)</t>
  </si>
  <si>
    <t xml:space="preserve">SII: vida útil 6 años (Res. Ex. 43/2002)</t>
  </si>
  <si>
    <t xml:space="preserve">    (-) Dep. Acum. Máquinas/Equipos</t>
  </si>
  <si>
    <t xml:space="preserve">Sec. 17.18 NIIF Pymes</t>
  </si>
  <si>
    <t xml:space="preserve">    Maquinarias en Leasing (Bruto)</t>
  </si>
  <si>
    <t xml:space="preserve">Sec. 20 NIIF Pymes</t>
  </si>
  <si>
    <t xml:space="preserve">    Terrenos</t>
  </si>
  <si>
    <t xml:space="preserve">Sec. 17.15 NIIF Pymes | NO se deprecian</t>
  </si>
  <si>
    <t xml:space="preserve">    Construcciones (Bruto)</t>
  </si>
  <si>
    <t xml:space="preserve">    (-) Dep. Acum. Construcciones</t>
  </si>
  <si>
    <t xml:space="preserve">SII: 40-100 años según material</t>
  </si>
  <si>
    <t xml:space="preserve">    Muebles, Útiles e Instalaciones</t>
  </si>
  <si>
    <t xml:space="preserve">    (-) Dep. Acum. Muebles/Útiles</t>
  </si>
  <si>
    <t xml:space="preserve">    Repuestos e Insumos (LP)</t>
  </si>
  <si>
    <t xml:space="preserve">Sec. 17 NIIF Pymes | Repuestos mayores</t>
  </si>
  <si>
    <t xml:space="preserve">    Intereses Diferidos LP</t>
  </si>
  <si>
    <t xml:space="preserve">Sec. 11 NIIF Pymes</t>
  </si>
  <si>
    <t xml:space="preserve">    Derechos Sociales Relacionadas</t>
  </si>
  <si>
    <t xml:space="preserve">Sec. 14-15 NIIF Pymes | Inversiones LP</t>
  </si>
  <si>
    <t xml:space="preserve">TOTAL ACTIVO NO CORRIENTE</t>
  </si>
  <si>
    <t xml:space="preserve">TOTAL ACTIVOS</t>
  </si>
  <si>
    <t xml:space="preserve">  P A S I V O S</t>
  </si>
  <si>
    <t xml:space="preserve">    PASIVO CORRIENTE</t>
  </si>
  <si>
    <t xml:space="preserve">Sec. 4.7 NIIF Pymes: Pasivos a liquidar en ≤12 meses. Incluye IVA débito, retenciones, remuneraciones y cuotas corrientes de préstamos LP.</t>
  </si>
  <si>
    <t xml:space="preserve">    Proveedores</t>
  </si>
  <si>
    <t xml:space="preserve">Sec. 11 NIIF Pymes | Cuentas por pagar</t>
  </si>
  <si>
    <t xml:space="preserve">    Documentos por Pagar — Vehículos</t>
  </si>
  <si>
    <t xml:space="preserve">Letras/pagarés CP</t>
  </si>
  <si>
    <t xml:space="preserve">    Acreedores Varios</t>
  </si>
  <si>
    <t xml:space="preserve">Deudas con terceros</t>
  </si>
  <si>
    <t xml:space="preserve">    IVA Débito Fiscal 19%</t>
  </si>
  <si>
    <t xml:space="preserve">Art. 15 D.L. 825 | Por pagar F-29</t>
  </si>
  <si>
    <t xml:space="preserve">    IVA Débito No Retenido 11%</t>
  </si>
  <si>
    <t xml:space="preserve">Régimen retención parcial</t>
  </si>
  <si>
    <t xml:space="preserve">    IVA Retenido a Terceros</t>
  </si>
  <si>
    <t xml:space="preserve">Art. 3° D.L. 825 | Retención total</t>
  </si>
  <si>
    <t xml:space="preserve">    PPM por Pagar</t>
  </si>
  <si>
    <t xml:space="preserve">Art. 84 LIR | Pagos prov. mensuales</t>
  </si>
  <si>
    <t xml:space="preserve">    Provisión Impuesto Renta</t>
  </si>
  <si>
    <t xml:space="preserve">Art. 24 LIR | Impuesto 1ª Cat. estimado</t>
  </si>
  <si>
    <t xml:space="preserve">    Contribuciones por Pagar</t>
  </si>
  <si>
    <t xml:space="preserve">Art. 3° Ley 17.235</t>
  </si>
  <si>
    <t xml:space="preserve">    Retención 2ª Categoría (10%)</t>
  </si>
  <si>
    <t xml:space="preserve">Art. 74 N°1 LIR | Honorarios</t>
  </si>
  <si>
    <t xml:space="preserve">    Sueldos por Pagar</t>
  </si>
  <si>
    <t xml:space="preserve">Art. 54 Cód. Trabajo | Devengo mensual</t>
  </si>
  <si>
    <t xml:space="preserve">    Honorarios por Pagar</t>
  </si>
  <si>
    <t xml:space="preserve">Art. 42 N°2 LIR | Ret. 14,5% (2025) / 15,25% (2026) — Ley 21.133</t>
  </si>
  <si>
    <t xml:space="preserve">    Instituciones de Previsión</t>
  </si>
  <si>
    <t xml:space="preserve">Ley 17.322 | AFP/ISAPRE/AFC vence día 10</t>
  </si>
  <si>
    <t xml:space="preserve">    Préstamos de Socios</t>
  </si>
  <si>
    <t xml:space="preserve">    Acreedores Varios (porción CP)</t>
  </si>
  <si>
    <t xml:space="preserve">Porción CP de deuda LP</t>
  </si>
  <si>
    <t xml:space="preserve">TOTAL PASIVO CORRIENTE</t>
  </si>
  <si>
    <t xml:space="preserve">    PASIVO NO CORRIENTE</t>
  </si>
  <si>
    <t xml:space="preserve">Sec. 4.7 NIIF Pymes: Pasivos con vencimiento &gt; 12 meses. Incluye préstamos bancarios LP, obligaciones leasing LP e impuestos diferidos.</t>
  </si>
  <si>
    <t xml:space="preserve">    Préstamos Banco Largo Plazo</t>
  </si>
  <si>
    <t xml:space="preserve">Sec. 11 NIIF Pymes | Costo amortizado; TIE</t>
  </si>
  <si>
    <t xml:space="preserve">    Acreedores Leasing Largo Plazo</t>
  </si>
  <si>
    <t xml:space="preserve">Sec. 20 NIIF Pymes | Obligación arrend. financiero</t>
  </si>
  <si>
    <t xml:space="preserve">TOTAL PASIVO NO CORRIENTE</t>
  </si>
  <si>
    <t xml:space="preserve">TOTAL PASIVOS</t>
  </si>
  <si>
    <t xml:space="preserve">  P A T R I M O N I O</t>
  </si>
  <si>
    <t xml:space="preserve">Sec. 22 NIIF Pymes: Participación residual en activos deducidos pasivos. Art. 41 LIR: corrección monetaria capital por variación IPC. Para SpA y SRL: Capital, Reservas, Utilidades Retenidas y Resultado Ejercicio.</t>
  </si>
  <si>
    <t xml:space="preserve">    Capital Pagado / Aportado</t>
  </si>
  <si>
    <t xml:space="preserve">Sec. 22.7 NIIF Pymes | Capital suscrito pagado</t>
  </si>
  <si>
    <t xml:space="preserve">    Revalorización Capital Propio</t>
  </si>
  <si>
    <t xml:space="preserve">Art. 41 N°1 LIR | Corrección monetaria IPC</t>
  </si>
  <si>
    <t xml:space="preserve">    Resultado Ejercicios Anteriores</t>
  </si>
  <si>
    <t xml:space="preserve">Sec. 3.23 NIIF Pymes | Utilidades retenidas</t>
  </si>
  <si>
    <t xml:space="preserve">    Resultado del Ejercicio</t>
  </si>
  <si>
    <t xml:space="preserve">Calculado desde Estado de Resultados del mismo período</t>
  </si>
  <si>
    <t xml:space="preserve">TOTAL PATRIMONIO</t>
  </si>
  <si>
    <t xml:space="preserve">TOTAL PASIVOS + PATRIMONIO</t>
  </si>
  <si>
    <t xml:space="preserve">VERIFICACIÓN: Activos = Pasivos + Patrimonio  →</t>
  </si>
  <si>
    <t xml:space="preserve">📋  NOTA TRIBUTARIA SII: Impuesto 1ª Categoría 2024: 27% régimen general (SA/SpA) | 12,5% Pro-Pyme 2025-2027 (Ley 21.755, art. 14D LIR). Sube a 15% en 2028. Corrección Monetaria (Art. 41 LIR): activos monetarios se ajustan por variación del IPC del ejercicio. Depreciación Acelerada: 1/3 vida útil (Art. 31 N°5 LIR). Depreciación Instantánea Pro-Pyme: 100% en 1 ejercicio para bienes nuevos (Art. 31 N°5 bis LIR, Ley 21.210). Todas las empresas deben presentar el Balance de 8 Columnas como Anexo al F-22. Plazo: 30 de junio.</t>
  </si>
  <si>
    <t xml:space="preserve">ESTADO DE RESULTADOS — ESTADO DE RESULTADO INTEGRAL</t>
  </si>
  <si>
    <t xml:space="preserve">⚖  NORMATIVA: Sección 5 NIIF para Pymes — Estado del Resultado Integral. Puede presentarse como un único estado o dividido en Estado de Resultados + Estado de Otro Resultado Integral (ORI). Para Pymes chilenas se acepta el formato de función del gasto (por naturaleza o por función). SII exige presentar el Resultado del Ejercicio antes y después de impuesto en la Declaración de Renta F-22. Tasa Impuesto 1ª Categoría 2024: 27% (régimen general) | 12,5% Pro-Pyme 2025-2027 (Ley 21.755, Art. 14D LIR). Los gastos no aceptados tributariamente deben agregarse al resultado tributario (Art. 33 LIR).</t>
  </si>
  <si>
    <t xml:space="preserve">CONCEPTO</t>
  </si>
  <si>
    <t xml:space="preserve">  I. INGRESOS DE ACTIVIDADES ORDINARIAS</t>
  </si>
  <si>
    <t xml:space="preserve">Sec. 23 NIIF Pymes: Se reconocen cuando es probable que fluyan beneficios económicos y el ingreso puede medirse confiablemente. Incluir solo ingresos devengados (no recaudados). Neto de devoluciones y descuentos.</t>
  </si>
  <si>
    <t xml:space="preserve">  Ventas de Bienes / Productos</t>
  </si>
  <si>
    <t xml:space="preserve">Sec. 23.10 NIIF Pymes | Neto de devoluciones</t>
  </si>
  <si>
    <t xml:space="preserve">  Ingresos por Servicios</t>
  </si>
  <si>
    <t xml:space="preserve">Sec. 23.14 NIIF Pymes | % de terminación</t>
  </si>
  <si>
    <t xml:space="preserve">  Ingresos por Comisiones</t>
  </si>
  <si>
    <t xml:space="preserve">Sec. 23.29 NIIF Pymes</t>
  </si>
  <si>
    <t xml:space="preserve">  Otros Ingresos Operacionales</t>
  </si>
  <si>
    <t xml:space="preserve">Ingresos accesorios a la actividad principal</t>
  </si>
  <si>
    <t xml:space="preserve">  Ingresos Financieros</t>
  </si>
  <si>
    <t xml:space="preserve">Sec. 11 NIIF Pymes | Intereses devengados</t>
  </si>
  <si>
    <t xml:space="preserve">  Otros Ingresos</t>
  </si>
  <si>
    <t xml:space="preserve">Art. 17 LIR: verificar si constituye renta</t>
  </si>
  <si>
    <t xml:space="preserve">TOTAL INGRESOS</t>
  </si>
  <si>
    <t xml:space="preserve">  II. COSTO DE VENTAS / COSTO DE SERVICIOS</t>
  </si>
  <si>
    <t xml:space="preserve">Sec. 13 NIIF Pymes: Los inventarios se valorizan al costo o VNR (el menor). Métodos permitidos: FIFO o Costo Promedio Ponderado (LIFO no permitido). El costo incluye todos los costos directos de adquisición/transformación.</t>
  </si>
  <si>
    <t xml:space="preserve">  Costo de Ventas / Mercaderías</t>
  </si>
  <si>
    <t xml:space="preserve">Sec. 13.19 NIIF Pymes | Costo promedio o FIFO</t>
  </si>
  <si>
    <t xml:space="preserve">  Gastos de Administración</t>
  </si>
  <si>
    <t xml:space="preserve">Sec. 5.5 NIIF Pymes | Por función o naturaleza</t>
  </si>
  <si>
    <t xml:space="preserve">  Combustibles y Mant. Vehículos</t>
  </si>
  <si>
    <t xml:space="preserve">Deducible Art. 31 LIR si relacionado al giro</t>
  </si>
  <si>
    <t xml:space="preserve">TOTAL COSTO DE VENTAS</t>
  </si>
  <si>
    <t xml:space="preserve">GANANCIA BRUTA  (Ingresos − Costo de Ventas)</t>
  </si>
  <si>
    <t xml:space="preserve">Ganancia Bruta = Ingresos Ordinarios − Costo de Ventas. Indicador clave de la eficiencia del proceso productivo o comercial (Margen Bruto = Ganancia Bruta / Ingresos).</t>
  </si>
  <si>
    <t xml:space="preserve">  III. GASTOS DE OPERACIÓN</t>
  </si>
  <si>
    <t xml:space="preserve">Art. 31 LIR: Son deducibles los gastos necesarios para producir la renta, siempre que no hayan sido rebajados como costo. Deben estar devengados en el ejercicio, ser de giro y acreditarse documentalmente. Gastos rechazados quedan afectos al Art. 21 LIR (impuesto único 40%).</t>
  </si>
  <si>
    <t xml:space="preserve">  Remuneraciones del Personal</t>
  </si>
  <si>
    <t xml:space="preserve">Art. 31 N°6 LIR | Deducibles; Cód. Trabajo</t>
  </si>
  <si>
    <t xml:space="preserve">  Asesorías y Honorarios Prof.</t>
  </si>
  <si>
    <t xml:space="preserve">Art. 42 N°2 LIR | Retención 14,5% (2025), 15,25% (2026) — Ley 21.133</t>
  </si>
  <si>
    <t xml:space="preserve">  Gastos Varios</t>
  </si>
  <si>
    <t xml:space="preserve">Art. 31 LIR | Deben ser necesarios para el giro</t>
  </si>
  <si>
    <t xml:space="preserve">  Fletes y Combustibles</t>
  </si>
  <si>
    <t xml:space="preserve">Art. 31 LIR | Relacionados al giro</t>
  </si>
  <si>
    <t xml:space="preserve">  Gastos en Repuestos</t>
  </si>
  <si>
    <t xml:space="preserve">Art. 31 LIR | Mantenimiento activo fijo</t>
  </si>
  <si>
    <t xml:space="preserve">  Gastos Básicos</t>
  </si>
  <si>
    <t xml:space="preserve">Art. 31 LIR | Electricidad, agua, internet</t>
  </si>
  <si>
    <t xml:space="preserve">Art. 31 LIR | Arriendo oficina, útiles</t>
  </si>
  <si>
    <t xml:space="preserve">  Publicidad</t>
  </si>
  <si>
    <t xml:space="preserve">Art. 31 LIR | Vinculada al giro</t>
  </si>
  <si>
    <t xml:space="preserve">  Arriendos</t>
  </si>
  <si>
    <t xml:space="preserve">Art. 31 N°1 LIR | Arriendo bienes del giro</t>
  </si>
  <si>
    <t xml:space="preserve">  Seguros</t>
  </si>
  <si>
    <t xml:space="preserve">Art. 31 N°3 LIR | Seguros relacionados al giro</t>
  </si>
  <si>
    <t xml:space="preserve">  Capacitación y Perfeccionamiento</t>
  </si>
  <si>
    <t xml:space="preserve">Ley 19.518 SENCE | Hasta 1% planilla remuneraciones</t>
  </si>
  <si>
    <t xml:space="preserve">  Gastos Financieros (Intereses)</t>
  </si>
  <si>
    <t xml:space="preserve">Art. 31 N°1 LIR | Intereses devengados</t>
  </si>
  <si>
    <t xml:space="preserve">TOTAL GASTOS OPERACIONALES</t>
  </si>
  <si>
    <t xml:space="preserve">RESULTADO OPERACIONAL  (EBIT)</t>
  </si>
  <si>
    <t xml:space="preserve">  IV. DEPRECIACIÓN Y AMORTIZACIÓN</t>
  </si>
  <si>
    <t xml:space="preserve">Sec. 17.18 NIIF Pymes: Depreciar durante la vida útil económica del activo. SII permite Depreciación Acelerada (1/3 vida útil) para Pymes — Art. 31 N°5 bis LIR. La depreciación financiera y tributaria pueden diferir, generando impuestos diferidos.</t>
  </si>
  <si>
    <t xml:space="preserve">  Depreciación Vehículos</t>
  </si>
  <si>
    <t xml:space="preserve">Art. 31 N°5 LIR | 7 años vida útil normal</t>
  </si>
  <si>
    <t xml:space="preserve">  Depreciación (General)</t>
  </si>
  <si>
    <t xml:space="preserve">Art. 31 N°5 bis LIR | Acelerada Pymes</t>
  </si>
  <si>
    <t xml:space="preserve">  Depreciación Carros y Remolques</t>
  </si>
  <si>
    <t xml:space="preserve">Sec. 17.18 NIIF Pymes | Componente a componente</t>
  </si>
  <si>
    <t xml:space="preserve">  Depreciación Muebles/Instalaciones</t>
  </si>
  <si>
    <t xml:space="preserve">SII: según Res. Ex. 43/2002</t>
  </si>
  <si>
    <t xml:space="preserve">TOTAL DEPRECIACIÓN Y AMORTIZACIÓN</t>
  </si>
  <si>
    <t xml:space="preserve">  V. OTROS INGRESOS / GASTOS NO OPERACIONALES</t>
  </si>
  <si>
    <t xml:space="preserve">Sec. 5.5 NIIF Pymes: Ingresos y gastos no relacionados con la actividad principal. Incluye utilidad/pérdida en venta de activos fijos, corrección monetaria y diferencias de cambio. Art. 41 LIR: Corrección Monetaria ajusta activos y pasivos por variación IPC.</t>
  </si>
  <si>
    <t xml:space="preserve">  Corrección Monetaria (Pérdida)</t>
  </si>
  <si>
    <t xml:space="preserve">Art. 41 LIR | Ajuste por variación IPC</t>
  </si>
  <si>
    <t xml:space="preserve">  Impuesto Municipal (Patentes)</t>
  </si>
  <si>
    <t xml:space="preserve">Art. 31 N°2 LIR | Patentes municipales</t>
  </si>
  <si>
    <t xml:space="preserve">  Patentes y Derechos Municipales</t>
  </si>
  <si>
    <t xml:space="preserve">Ley 18.695 | Deducibles como gasto</t>
  </si>
  <si>
    <t xml:space="preserve">TOTAL OTROS EGRESOS NO OPERACIONALES</t>
  </si>
  <si>
    <t xml:space="preserve">RESULTADO ANTES DE IMPUESTO A LA RENTA</t>
  </si>
  <si>
    <t xml:space="preserve">Resultado Financiero antes de aplicar el Impuesto de Primera Categoría. Base para calcular la RLI tributaria (con ajustes Arts. 29-33 LIR).</t>
  </si>
  <si>
    <t xml:space="preserve">  VI. IMPUESTO A LA RENTA (1ª CATEGORÍA)</t>
  </si>
  <si>
    <t xml:space="preserve">Art. 20 LIR: Impuesto de 1ª Categoría. Tasa 2024: 27% régimen general (SA/SpA) | 12,5% Pro-Pyme 2025-2027 (Ley 21.755, Art. 14D). Sube a 15% en 2028, 25% desde 2029. Sobre la Renta Líquida Imponible (RLI) que puede diferir del resultado financiero. Créditos: PPM, Art. 33 bis, Diesel, SENCE.</t>
  </si>
  <si>
    <t xml:space="preserve">    Impuesto de 1ª Categoría Estimado</t>
  </si>
  <si>
    <t xml:space="preserve">Tasa 27% régimen general | 12,5% Pro-Pyme 2025-2027 (Ley 21.755, Art. 14D LIR)</t>
  </si>
  <si>
    <t xml:space="preserve">TOTAL IMPUESTO A LA RENTA</t>
  </si>
  <si>
    <t xml:space="preserve">Resultado Neto del Ejercicio</t>
  </si>
  <si>
    <t xml:space="preserve">El Resultado Neto del Ejercicio se traspasa al Balance General como componente del Patrimonio. Si es positivo: Utilidad del Ejercicio. Si es negativo: Pérdida del Ejercicio (Art. 31 N°3 LIR: arrastre de pérdidas). Margen Neto = Resultado Neto / Ingresos. EBITDA = EBIT + Depreciación + Amortización.</t>
  </si>
  <si>
    <t xml:space="preserve">  INDICADORES FINANCIEROS CLAVE</t>
  </si>
  <si>
    <t xml:space="preserve">  Margen Bruto (%)</t>
  </si>
  <si>
    <t xml:space="preserve">Ganancia Bruta / Ingresos × 100</t>
  </si>
  <si>
    <t xml:space="preserve">  Margen Operacional (%)</t>
  </si>
  <si>
    <t xml:space="preserve">EBIT / Ingresos × 100</t>
  </si>
  <si>
    <t xml:space="preserve">  Margen Neto (%)</t>
  </si>
  <si>
    <t xml:space="preserve">Resultado Neto / Ingresos × 100</t>
  </si>
  <si>
    <t xml:space="preserve">  EBITDA ($)</t>
  </si>
  <si>
    <t xml:space="preserve">EBIT + Depreciación y Amortización</t>
  </si>
  <si>
    <t xml:space="preserve">  Carga Tributaria Efectiva (%)</t>
  </si>
  <si>
    <t xml:space="preserve">Impuesto / RAI × 100</t>
  </si>
  <si>
    <t xml:space="preserve">📋  NOTAS TRIBUTARIAS ADICIONALES (Chile 2024): (1) Gastos Rechazados Art. 21 LIR: afectos a impuesto único 40% si son de SA/SpA o global complementario si son empresas individuales. (2) Corrección Monetaria Art. 41 LIR: ajusta activos y pasivos no monetarios por variación del IPC del ejercicio (acumulado anual). (3) RAI (Registro de Rentas Afectas a Impuesto): las utilidades generadas quedan en el Registro de Rentas Afectas a Impuesto (RAI). (4) Pérdidas tributarias: se arrastra indefinidamente según Art. 31 N°3 LIR (reforma Ley 21.210). (5) Pro-Pyme (Art. 14D): empresas con ingresos ≤ 75.000 UF pueden acogerse a régimen simplificado con tasa 25%.</t>
  </si>
  <si>
    <t xml:space="preserve">REPORTE DE GESTIÓN — INDICADORES FINANCIEROS CLAVE</t>
  </si>
  <si>
    <t xml:space="preserve">⚖  NORMATIVA: Indicadores calculados conforme a NIIF para Pymes (Colegio de Contadores de Chile, BT N°82) y estándares de análisis financiero CORFO/SERCOTEC para MYPE. Los umbrales referenciales son orientativos — varían según sector e industria. Fuente benchmarks: SBIF/CMF, Banco Central Chile, SERCOTEC.</t>
  </si>
  <si>
    <t xml:space="preserve">Año:</t>
  </si>
  <si>
    <t xml:space="preserve">← Cambie cliente y año para actualizar todos los indicadores</t>
  </si>
  <si>
    <t xml:space="preserve">INDICADOR</t>
  </si>
  <si>
    <t xml:space="preserve">VALOR</t>
  </si>
  <si>
    <t xml:space="preserve">🚦</t>
  </si>
  <si>
    <t xml:space="preserve">INTERPRETACIÓN</t>
  </si>
  <si>
    <t xml:space="preserve">REFERENCIA NORMATIVA</t>
  </si>
  <si>
    <t xml:space="preserve">✅ BUENO</t>
  </si>
  <si>
    <t xml:space="preserve">⚠ PRECAUCIÓN</t>
  </si>
  <si>
    <t xml:space="preserve">  💧  INDICADORES DE LIQUIDEZ  — ¿Puede pagar sus deudas a corto plazo?</t>
  </si>
  <si>
    <t xml:space="preserve">Miden la capacidad de la empresa para cubrir sus obligaciones de corto plazo con sus activos líquidos. Críticos para la sobrevivencia de una MYPE.</t>
  </si>
  <si>
    <t xml:space="preserve">Razón Corriente  (Liquidez General)</t>
  </si>
  <si>
    <t xml:space="preserve">Activo Cte / Pasivo Cte. Mide cuántos $ de activo cte. respaldan cada $ de deuda cte.</t>
  </si>
  <si>
    <t xml:space="preserve">SERCOTEC: ≥1.5 saludable | Banco Central Chile ref.</t>
  </si>
  <si>
    <t xml:space="preserve">Razón Ácida  (Prueba Ácida)</t>
  </si>
  <si>
    <t xml:space="preserve">(Activo Cte − Inventarios) / Pasivo Cte. Excluye inventarios por ser menos líquidos.</t>
  </si>
  <si>
    <t xml:space="preserve">Ref. NIIF Pymes Sec. 7 | Estándar MYPE Chile</t>
  </si>
  <si>
    <t xml:space="preserve">Razón de Efectivo  (Tesorería Inmediata)</t>
  </si>
  <si>
    <t xml:space="preserve">Caja y Bancos / Pasivo Cte. Capacidad de pago con dinero disponible hoy.</t>
  </si>
  <si>
    <t xml:space="preserve">Umbral mínimo recomendado SERCOTEC Pymes</t>
  </si>
  <si>
    <t xml:space="preserve">  🏦  INDICADORES DE DEUDA Y APALANCAMIENTO  — ¿Qué tanto debe la empresa?</t>
  </si>
  <si>
    <t xml:space="preserve">Prioridad máxima para MYPE: el sobre-endeudamiento es la principal causa de quiebra en pequeñas empresas chilenas (fuente: SBIF/CMF). Art. 2° Ley 20.720 de Insolvencia.</t>
  </si>
  <si>
    <t xml:space="preserve">Razón de Endeudamiento  (Leverage)</t>
  </si>
  <si>
    <t xml:space="preserve">Pasivo Total / (Pasivo + Patrimonio). Proporción de activos financiados con deuda. &gt;70% es zona de riesgo.</t>
  </si>
  <si>
    <t xml:space="preserve">CMF Chile | Ley 20.720 Insolvencia | Ref. SBIF</t>
  </si>
  <si>
    <t xml:space="preserve">≤ 0.50</t>
  </si>
  <si>
    <t xml:space="preserve">0.51 – 0.70</t>
  </si>
  <si>
    <t xml:space="preserve">Razón Deuda / Patrimonio  (D/E Ratio)</t>
  </si>
  <si>
    <t xml:space="preserve">Pasivo Total / Patrimonio. Por cada $1 de capital propio, cuánto se debe. &gt;2x es señal de alerta MYPE.</t>
  </si>
  <si>
    <t xml:space="preserve">Estándar internacional | CORFO criterio crédito</t>
  </si>
  <si>
    <t xml:space="preserve">1.01 – 2.0</t>
  </si>
  <si>
    <t xml:space="preserve">Cobertura de Intereses  (ICR)</t>
  </si>
  <si>
    <t xml:space="preserve">EBIT / Gastos Financieros. Veces que la utilidad operacional cubre los intereses. &lt;1.5x: riesgo de insolvencia.</t>
  </si>
  <si>
    <t xml:space="preserve">Ref. Bancos en Chile | Covenants financieros CORFO</t>
  </si>
  <si>
    <t xml:space="preserve">≥ 3.0</t>
  </si>
  <si>
    <t xml:space="preserve">1.5 – 2.9</t>
  </si>
  <si>
    <t xml:space="preserve">Endeudamiento Corriente</t>
  </si>
  <si>
    <t xml:space="preserve">Pasivo Cte / Pasivo Total. Proporción de deuda que vence en &lt;12 meses. Alta concentración = riesgo de liquidez.</t>
  </si>
  <si>
    <t xml:space="preserve">Ref. análisis crédito bancario Chile</t>
  </si>
  <si>
    <t xml:space="preserve">  📈  INDICADORES DE RENTABILIDAD  — ¿Es rentable el negocio?</t>
  </si>
  <si>
    <t xml:space="preserve">Miden la eficiencia del negocio para generar utilidades. Un ROE &gt; costo de capital indica creación de valor. SERCOTEC exige rentabilidad positiva para créditos MYPE.</t>
  </si>
  <si>
    <t xml:space="preserve">ROE  (Retorno sobre Patrimonio)</t>
  </si>
  <si>
    <t xml:space="preserve">Utilidad Neta / Patrimonio. Por cada $1 de capital propio, cuánta ganancia genera. Mínimo 15% recomendado.</t>
  </si>
  <si>
    <t xml:space="preserve">Ref. SERCOTEC | Benchmark MYPE sector comercio</t>
  </si>
  <si>
    <t xml:space="preserve">≥ 15%</t>
  </si>
  <si>
    <t xml:space="preserve">5% – 14%</t>
  </si>
  <si>
    <t xml:space="preserve">ROA  (Retorno sobre Activos)</t>
  </si>
  <si>
    <t xml:space="preserve">Utilidad Neta / Activo Total. Eficiencia para generar utilidades con todos los activos disponibles.</t>
  </si>
  <si>
    <t xml:space="preserve">Ref. análisis sectorial Banco Central Chile</t>
  </si>
  <si>
    <t xml:space="preserve">≥ 8%</t>
  </si>
  <si>
    <t xml:space="preserve">3% – 7%</t>
  </si>
  <si>
    <t xml:space="preserve">(Ingresos − Costo Ventas) / Ingresos. Porcentaje que queda para cubrir gastos operacionales.</t>
  </si>
  <si>
    <t xml:space="preserve">Ref. sectorial CORFO | Comercio MYPE Chile ≥30%</t>
  </si>
  <si>
    <t xml:space="preserve">15% – 29%</t>
  </si>
  <si>
    <t xml:space="preserve">Margen Operacional (EBIT%)</t>
  </si>
  <si>
    <t xml:space="preserve">(Ingresos − Gastos Oper.) / Ingresos. Eficiencia operacional antes de financiamiento e impuestos.</t>
  </si>
  <si>
    <t xml:space="preserve">Ref. CMF Chile | MYPE objetivo ≥10%</t>
  </si>
  <si>
    <t xml:space="preserve">3% – 9%</t>
  </si>
  <si>
    <t xml:space="preserve">  ⚙️  INDICADORES DE ACTIVIDAD Y EFICIENCIA  — ¿Qué tan bien usa sus recursos?</t>
  </si>
  <si>
    <t xml:space="preserve">Miden la velocidad con que la empresa convierte sus activos en ventas o efectivo. Relevantes para gestionar el capital de trabajo de la MYPE.</t>
  </si>
  <si>
    <t xml:space="preserve">Rotación de Inventarios  (veces/año)</t>
  </si>
  <si>
    <t xml:space="preserve">Costo Ventas / Inventario Promedio. Veces que el inventario se renueva en el año. Baja rotación = mercadería estancada.</t>
  </si>
  <si>
    <t xml:space="preserve">Ref. SERCOTEC | Comercio minorista Chile ≥6x</t>
  </si>
  <si>
    <t xml:space="preserve">≥ 6 veces</t>
  </si>
  <si>
    <t xml:space="preserve">3 – 5 veces</t>
  </si>
  <si>
    <t xml:space="preserve">Días de Cobro  (PMC)</t>
  </si>
  <si>
    <t xml:space="preserve">CxC / (Ingresos/365). Días promedio que tarda en cobrar. &gt;60 días compromete el flujo de caja.</t>
  </si>
  <si>
    <t xml:space="preserve">Ref. análisis MYPE BancoEstado | SERCOTEC</t>
  </si>
  <si>
    <t xml:space="preserve">31 – 60 días</t>
  </si>
  <si>
    <t xml:space="preserve">Días de Pago  (PMP)</t>
  </si>
  <si>
    <t xml:space="preserve">CxP / (Costo Ventas/365). Días que la empresa tarda en pagar a proveedores. Negociar &gt;30 días mejora liquidez.</t>
  </si>
  <si>
    <t xml:space="preserve">Ref. comercio Chile | Ley 20.416 Pymes</t>
  </si>
  <si>
    <t xml:space="preserve">≥ 30 días</t>
  </si>
  <si>
    <t xml:space="preserve">15 – 29 días</t>
  </si>
  <si>
    <t xml:space="preserve">  🏁  DIAGNÓSTICO GENERAL</t>
  </si>
  <si>
    <t xml:space="preserve">REPORTE DE FLUJO DE CAJA Y SOSTENIBILIDAD  |  MYPE Chile</t>
  </si>
  <si>
    <t xml:space="preserve">Ref.: NIC 7 (IAS 7) Flujo de Efectivo · NIIF PYMES Sección 7 · Ley 20.720 Insolvencia · SERCOTEC · Circular SII N°13/2021</t>
  </si>
  <si>
    <t xml:space="preserve">Seleccione el cliente del listado</t>
  </si>
  <si>
    <t xml:space="preserve">Año anterior:</t>
  </si>
  <si>
    <t xml:space="preserve">Ingrese año en F5</t>
  </si>
  <si>
    <t xml:space="preserve">AÑO ACTUAL ($)</t>
  </si>
  <si>
    <t xml:space="preserve">AÑO ANTERIOR ($)</t>
  </si>
  <si>
    <t xml:space="preserve">VAR. ($)</t>
  </si>
  <si>
    <t xml:space="preserve">VAR. %</t>
  </si>
  <si>
    <t xml:space="preserve">NOTA</t>
  </si>
  <si>
    <t xml:space="preserve">1.  FLUJO DE ACTIVIDADES OPERACIONALES  (Método Indirecto — NIIF Pymes Sec. 7.7)</t>
  </si>
  <si>
    <t xml:space="preserve">Punto de partida método indirecto</t>
  </si>
  <si>
    <t xml:space="preserve">  Ajustes por partidas no monetarias:</t>
  </si>
  <si>
    <t xml:space="preserve">  (+) Depreciación del ejercicio</t>
  </si>
  <si>
    <t xml:space="preserve">Res. Ex. SII N°43/2002 – tablas depreciación</t>
  </si>
  <si>
    <t xml:space="preserve">  (+/-) Variación CxC clientes</t>
  </si>
  <si>
    <t xml:space="preserve">Δ CxC: positivo = cobros, negativo = mayor crédito</t>
  </si>
  <si>
    <t xml:space="preserve">  (+/-) Variación inventarios</t>
  </si>
  <si>
    <t xml:space="preserve">0</t>
  </si>
  <si>
    <t xml:space="preserve">Δ Inventario: positivo = reducción stock</t>
  </si>
  <si>
    <t xml:space="preserve">  (+/-) Variación CxP proveedores</t>
  </si>
  <si>
    <t xml:space="preserve">Δ CxP: positivo = mayor plazo proveedores</t>
  </si>
  <si>
    <t xml:space="preserve">  (+/-) Variación remuneraciones por pagar</t>
  </si>
  <si>
    <t xml:space="preserve">Cód. del Trabajo Art. 54 bis – pago mensual</t>
  </si>
  <si>
    <t xml:space="preserve">  (+/-) Variación IVA (CF-DF)</t>
  </si>
  <si>
    <t xml:space="preserve">D.L. 825 IVA – saldo técnico</t>
  </si>
  <si>
    <t xml:space="preserve">FLUJO NETO OPERACIONAL</t>
  </si>
  <si>
    <t xml:space="preserve">2.  FLUJO DE ACTIVIDADES DE INVERSIÓN  (NIIF Pymes Sec. 7.10)</t>
  </si>
  <si>
    <t xml:space="preserve">  (-) Compras de activo fijo / propiedades</t>
  </si>
  <si>
    <t xml:space="preserve">NIIF Sec. 17 PPE – costo histórico</t>
  </si>
  <si>
    <t xml:space="preserve">  (+) Ventas de activos / recupero</t>
  </si>
  <si>
    <t xml:space="preserve">FLUJO NETO INVERSIÓN</t>
  </si>
  <si>
    <t xml:space="preserve">3.  FLUJO DE ACTIVIDADES DE FINANCIAMIENTO  (NIIF Pymes Sec. 7.14)</t>
  </si>
  <si>
    <t xml:space="preserve">  (+) Préstamos / créditos obtenidos</t>
  </si>
  <si>
    <t xml:space="preserve">Incluye Banco BancoEstado MIPE, CORFO</t>
  </si>
  <si>
    <t xml:space="preserve">  (-) Amortización / pago de deudas</t>
  </si>
  <si>
    <t xml:space="preserve">Pago capital — Art. 31 N°7 LIR</t>
  </si>
  <si>
    <t xml:space="preserve">  (-) Pago de intereses / gastos financieros</t>
  </si>
  <si>
    <t xml:space="preserve">Art. 31 N°1 LIR – deducible si vinculado al giro</t>
  </si>
  <si>
    <t xml:space="preserve">  (+/-) Aportes / retiros de capital</t>
  </si>
  <si>
    <t xml:space="preserve">Art. 17 N°5 LIR – aporte capital no tributa</t>
  </si>
  <si>
    <t xml:space="preserve">FLUJO NETO FINANCIAMIENTO</t>
  </si>
  <si>
    <t xml:space="preserve">VARIACIÓN NETA DE CAJA (Σ 1+2+3)</t>
  </si>
  <si>
    <t xml:space="preserve">Saldo inicial de Caja y Bancos (al 01/01)</t>
  </si>
  <si>
    <t xml:space="preserve">Tomado del año anterior como saldo de apertura</t>
  </si>
  <si>
    <t xml:space="preserve">SALDO FINAL DE CAJA Y BANCOS</t>
  </si>
  <si>
    <t xml:space="preserve">4.  INDICADORES DE SOSTENIBILIDAD Y GESTIÓN DE CAJA  (SERCOTEC · CMF · CORFO)</t>
  </si>
  <si>
    <t xml:space="preserve">UMBRAL 🟢</t>
  </si>
  <si>
    <t xml:space="preserve">UMBRAL 🟡</t>
  </si>
  <si>
    <t xml:space="preserve">  Liquidez y Runway de Caja</t>
  </si>
  <si>
    <t xml:space="preserve">Runway / Autonomía de Caja (meses)</t>
  </si>
  <si>
    <t xml:space="preserve">Meses que puede operar sin ingresos. &lt; 1 mes = riesgo crítico de insolvencia.</t>
  </si>
  <si>
    <t xml:space="preserve">SERCOTEC Cap. Trabajo · Ley 20.720 Art. 2</t>
  </si>
  <si>
    <t xml:space="preserve">≥ 3 meses</t>
  </si>
  <si>
    <t xml:space="preserve">1–3 meses</t>
  </si>
  <si>
    <t xml:space="preserve">Índice de Cobertura de Gastos Fijos</t>
  </si>
  <si>
    <t xml:space="preserve">Ingresos totales / Gastos fijos anuales. &lt; 1 = no cubre sus costos.</t>
  </si>
  <si>
    <t xml:space="preserve">CORFO benchmark MYPE · CMF análisis crédito</t>
  </si>
  <si>
    <t xml:space="preserve">≥ 1.20</t>
  </si>
  <si>
    <t xml:space="preserve">1.00–1.20</t>
  </si>
  <si>
    <t xml:space="preserve">  Burn Rate y Punto de Equilibrio</t>
  </si>
  <si>
    <t xml:space="preserve">Burn Rate mensual (gastos operac. mensuales, $)</t>
  </si>
  <si>
    <t xml:space="preserve">Gasto operacional promedio mensual. Si supera el 95% de ingresos mensuales, insostenible.</t>
  </si>
  <si>
    <t xml:space="preserve">SERCOTEC Gestión Financiera MYPE 2023</t>
  </si>
  <si>
    <t xml:space="preserve">&lt; 85% ing.</t>
  </si>
  <si>
    <t xml:space="preserve">85–95% ing.</t>
  </si>
  <si>
    <t xml:space="preserve">Punto de Equilibrio (ventas mínimas, $)</t>
  </si>
  <si>
    <t xml:space="preserve">Ventas mínimas para cubrir todos los costos. Si ventas actuales &lt; P.Eq., empresa en pérdida.</t>
  </si>
  <si>
    <t xml:space="preserve">Análisis CVU · SERCOTEC Herramientas Financieras</t>
  </si>
  <si>
    <t xml:space="preserve">Ingresos ≥ P.Eq.</t>
  </si>
  <si>
    <t xml:space="preserve">–</t>
  </si>
  <si>
    <t xml:space="preserve">  Ciclo de Conversión de Efectivo (CCE)</t>
  </si>
  <si>
    <t xml:space="preserve">Período Medio de Cobro — PMC (días)</t>
  </si>
  <si>
    <t xml:space="preserve">Días promedio que tarda en cobrar facturas. &gt; 60 días deteriora el flujo de caja.</t>
  </si>
  <si>
    <t xml:space="preserve">CMF Análisis Crédito MYPE · Art. 12 Ley 19.983</t>
  </si>
  <si>
    <t xml:space="preserve">30–60 días</t>
  </si>
  <si>
    <t xml:space="preserve">Días de Inventario (DI)</t>
  </si>
  <si>
    <t xml:space="preserve">Días que el inventario permanece en bodega. Alto = capital inmovilizado.</t>
  </si>
  <si>
    <t xml:space="preserve">SERCOTEC Gestión de Inventarios MYPE</t>
  </si>
  <si>
    <t xml:space="preserve">Ciclo de Conversión de Efectivo — CCE (días)</t>
  </si>
  <si>
    <t xml:space="preserve">PMC + DI - PMP. Días en que el capital queda sin liquidez. &lt; 30 = excelente gestión.</t>
  </si>
  <si>
    <t xml:space="preserve">NIC 7 · SERCOTEC · CMF</t>
  </si>
  <si>
    <t xml:space="preserve">  Sostenibilidad de la Deuda y Capacidad de Pago</t>
  </si>
  <si>
    <t xml:space="preserve">Flujo Operacional / Deuda Corriente</t>
  </si>
  <si>
    <t xml:space="preserve">Flujo operacional vs deudas de corto plazo. &lt; 0.5 = riesgo de cesación de pagos.</t>
  </si>
  <si>
    <t xml:space="preserve">Ley 20.720 Art. 2 · CMF Riesgo MYPE</t>
  </si>
  <si>
    <t xml:space="preserve">0.5–1.0</t>
  </si>
  <si>
    <t xml:space="preserve">Índice de Cobertura de Intereses (DSCR)</t>
  </si>
  <si>
    <t xml:space="preserve">EBIT / Gastos financieros. &lt; 1 = no genera suficiente para pagar intereses.</t>
  </si>
  <si>
    <t xml:space="preserve">Art. 31 N°1 LIR · BancoEstado MIPE scoring</t>
  </si>
  <si>
    <t xml:space="preserve">≥ 1.50</t>
  </si>
  <si>
    <t xml:space="preserve">1.00–1.50</t>
  </si>
  <si>
    <t xml:space="preserve">Margen de Flujo Libre (Free Cash Flow %)</t>
  </si>
  <si>
    <t xml:space="preserve">Flujo operacional / Ingresos. Mide qué % de ventas se convierte en caja libre.</t>
  </si>
  <si>
    <t xml:space="preserve">CORFO Evaluación Crédito · CMF Supervisión</t>
  </si>
  <si>
    <t xml:space="preserve">5–10%</t>
  </si>
  <si>
    <t xml:space="preserve">5.  DETALLE MENSUAL DE INGRESOS Y GASTOS  (año seleccionado)</t>
  </si>
  <si>
    <t xml:space="preserve">Concepto</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</si>
  <si>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</si>
  <si>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</si>
  <si>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</si>
  <si>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</si>
  <si>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</si>
  <si>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</si>
  <si>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</si>
  <si>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</si>
  <si>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</si>
  <si>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</si>
  <si>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</si>
  <si>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</si>
  <si>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t>
  </si>
  <si>
    <t xml:space="preserve">Ingresos Totales</t>
  </si>
  <si>
    <t xml:space="preserve">Gastos Operacionales</t>
  </si>
  <si>
    <t xml:space="preserve">Flujo Neto Mensual</t>
  </si>
  <si>
    <t xml:space="preserve">⚠ NOTA NORMATIVA:  Flujo de Caja elaborado según NIIF para Pymes Sección 7 (método indirecto). Los indicadores de sostenibilidad se calculan con base en los datos del Libro Diario y son de carácter referencial para gestión interna. Para presentación a instituciones financieras (CORFO, BancoEstado, CMF) se recomienda ajuste a estados financieros auditados. Art. 29 LIR — obligación de registro contable.</t>
  </si>
  <si>
    <t xml:space="preserve">INFORME DE AUDITORÍA CONTABLE</t>
  </si>
  <si>
    <t xml:space="preserve">Fecha: 22/03/2026 23:24  |  Archivo: Programa Contabilidad.xlsx  |  Total: 14 hallazgos</t>
  </si>
  <si>
    <t xml:space="preserve">CRÍTICO: 0  |  ALTO: 0  |  MEDIO: 0  |  BAJO: 3  |  INFO: 11</t>
  </si>
  <si>
    <t xml:space="preserve">Severidad</t>
  </si>
  <si>
    <t xml:space="preserve">Categoría</t>
  </si>
  <si>
    <t xml:space="preserve">Ubicación</t>
  </si>
  <si>
    <t xml:space="preserve">Hallazgo</t>
  </si>
  <si>
    <t xml:space="preserve">Referencia Normativa</t>
  </si>
  <si>
    <t xml:space="preserve">Impacto</t>
  </si>
  <si>
    <t xml:space="preserve">Plan de Resolución</t>
  </si>
  <si>
    <t xml:space="preserve">Estado</t>
  </si>
  <si>
    <t xml:space="preserve">BAJO</t>
  </si>
  <si>
    <t xml:space="preserve">Normativa</t>
  </si>
  <si>
    <t xml:space="preserve">General</t>
  </si>
  <si>
    <t xml:space="preserve">N/A</t>
  </si>
  <si>
    <t xml:space="preserve">NIIF Pymes Sección 8 requiere la presentación de Notas a los Estados Financieros como parte integral de los EEFF. El template no incluye una hoja formal de Notas, aunque las citas normativas están distribuidas en cada hoja como comentarios en celdas.</t>
  </si>
  <si>
    <t xml:space="preserve">NIIF Pymes Sec. 8 — Notas a los Estados Financieros</t>
  </si>
  <si>
    <t xml:space="preserve">Para presentación formal a terceros (bancos, SII, CORFO) se requieren Notas como documento separado. Para uso interno de gestión, las notas integradas son suficientes.</t>
  </si>
  <si>
    <t xml:space="preserve">Opcional: Considerar agregar una hoja 'Notas EEFF' con políticas contables resumidas para presentación externa. Para uso de gestión MYPE, la estructura actual es aceptable.</t>
  </si>
  <si>
    <t xml:space="preserve">INFO</t>
  </si>
  <si>
    <t xml:space="preserve">El Art. 41 LIR exige corrección monetaria (ajuste IPC) de activos y pasivos al cierre. El template menciona esta obligación pero no la automatiza. Requiere ajuste manual al cierre del ejercicio.</t>
  </si>
  <si>
    <t xml:space="preserve">Art. 41 LIR — Corrección Monetaria</t>
  </si>
  <si>
    <t xml:space="preserve">Sin corrección monetaria, el Balance no refleja valores reexpresados al cierre tributario.</t>
  </si>
  <si>
    <t xml:space="preserve">Documentar como procedimiento manual de cierre: el contador debe registrar asientos de corrección monetaria en el Libro Diario con base en la variación IPC del ejercicio.</t>
  </si>
  <si>
    <t xml:space="preserve">Sec. VI</t>
  </si>
  <si>
    <t xml:space="preserve">NIIF Pymes Sec. 29 requiere reconocer impuestos diferidos cuando la depreciación financiera difiere de la tributaria (ej: depreciación acelerada). El template solo calcula impuesto corriente estimado, no diferido.</t>
  </si>
  <si>
    <t xml:space="preserve">NIIF Pymes Sec. 29.15 — Impuesto a las Ganancias (Diferido)</t>
  </si>
  <si>
    <t xml:space="preserve">Para MYPE con depreciación acelerada significativa, omitir el impuesto diferido puede distorsionar el resultado neto. Para la mayoría de micro empresas el efecto es inmaterial.</t>
  </si>
  <si>
    <t xml:space="preserve">Opcional para MYPE: si hay activos con depreciación acelerada significativa, agregar una línea de 'Impuesto Diferido' en la sección VI del EERR.</t>
  </si>
  <si>
    <t xml:space="preserve">El Flujo de Caja cumple correctamente con NIC 7 / NIIF Pymes Sec. 7: método indirecto, 3 secciones (Operación, Inversión, Financiamiento), conciliación con saldo de caja, variaciones comparativas con año anterior, e indicadores de sostenibilidad con umbrales SERCOTEC/CMF.</t>
  </si>
  <si>
    <t xml:space="preserve">NIIF Pymes Sec. 7 — Estado de Flujos de Efectivo</t>
  </si>
  <si>
    <t xml:space="preserve">D98</t>
  </si>
  <si>
    <t xml:space="preserve">El Balance General incluye verificación automática Activo = Pasivo + Patrimonio con indicador visual '✓ BALANCE CUADRADO'. La ecuación contable fundamental se cumple.</t>
  </si>
  <si>
    <t xml:space="preserve">NIIF Marco Conceptual — Ecuación contable</t>
  </si>
  <si>
    <t xml:space="preserve">El Libro Diario está vacío (template limpio) pero las instrucciones y validaciones imponen correctamente el principio de partida doble: cada asiento requiere mínimo 2 líneas y ΣDebe = ΣHaber.</t>
  </si>
  <si>
    <t xml:space="preserve">NIIF Marco Conceptual — Principio de Partida Doble</t>
  </si>
  <si>
    <t xml:space="preserve">El plan de cuentas incluye las 95 cuentas recomendadas para MYPE Chile, cubriendo: efectivo, CxC, inventarios, activo fijo con depreciación, IVA CF/DF, PPM, proveedores, remuneraciones, provisión vacaciones, capital, resultados, ingresos operacionales y gastos por función. Estructura PCGA Chile 1xxx-4xxx correcta.</t>
  </si>
  <si>
    <t xml:space="preserve">PCGA Chile — Plan de cuentas estándar MYPE</t>
  </si>
  <si>
    <t xml:space="preserve">1107101, 2105101</t>
  </si>
  <si>
    <t xml:space="preserve">Cuentas de IVA Crédito Fiscal (1107101) y IVA Débito Fiscal (2105101) correctamente incluidas, cumpliendo D.L. 825 Art. 23-24. Tasa IVA 19% vigente.</t>
  </si>
  <si>
    <t xml:space="preserve">D.L. 825 Art. 23-24 — IVA Chile</t>
  </si>
  <si>
    <t xml:space="preserve">Plan de Cuentas</t>
  </si>
  <si>
    <t xml:space="preserve">Múltiples filas (3 clientes × 6 cuentas)</t>
  </si>
  <si>
    <t xml:space="preserve">18 cuentas de Depreciación Acumulada clasificadas como PASIVO (naturaleza acreedora) con código 1xxx. Son cuentas reguladoras del activo — aceptable en PCGA Chile (NIC 16.73). No afecta cálculos.</t>
  </si>
  <si>
    <t xml:space="preserve">PCGA Chile — Cuentas reguladoras de activo (NIC 16.73)</t>
  </si>
  <si>
    <t xml:space="preserve">No afecta cálculos si el Balance las maneja como saldo acreedor dentro de Activos.</t>
  </si>
  <si>
    <t xml:space="preserve">Opcional: Considerar tipo 'ACTIVO' con tratamiento Acreedor para mayor claridad.</t>
  </si>
  <si>
    <t xml:space="preserve">Múltiples filas</t>
  </si>
  <si>
    <t xml:space="preserve">Cliente CLI001 tiene 95 cuentas sin movimientos en Libro Diario. Ejemplos: 1101001 (Caja), 1101002 (Bancos), 1104001 (Clientes Varios), 1106001 (Retiros Acumulados-Ej. Anteriores.), 1106002 (Cta. Cte. SOCIO)....</t>
  </si>
  <si>
    <t xml:space="preserve">Plan de cuentas sobredimensionado para la actividad actual.</t>
  </si>
  <si>
    <t xml:space="preserve">Revisar y eliminar cuentas que no se vayan a utilizar.</t>
  </si>
  <si>
    <t xml:space="preserve">Cliente CLI002 tiene 95 cuentas sin movimientos en Libro Diario. Ejemplos: 1101001 (Caja), 1101002 (Bancos), 1104001 (Clientes Varios), 1106001 (Retiros Acumulados-Ej. Anteriores.), 1106002 (Cta. Cte. SOCIO)....</t>
  </si>
  <si>
    <t xml:space="preserve">Cliente CLI003 tiene 95 cuentas sin movimientos en Libro Diario. Ejemplos: 1101001 (Caja), 1101002 (Bancos), 1104001 (Clientes Varios), 1106001 (Retiros Acumulados-Ej. Anteriores.), 1106002 (Cta. Cte. SOCIO)....</t>
  </si>
  <si>
    <t xml:space="preserve">Fórmulas</t>
  </si>
  <si>
    <t xml:space="preserve">Todas las hojas</t>
  </si>
  <si>
    <t xml:space="preserve">2.420 fórmulas verificadas con recalc.py (LibreOffice). 0 errores detectados (VALUE, REF, DIV/0, N/A, NAME).</t>
  </si>
  <si>
    <t xml:space="preserve">Marco Regulatorio</t>
  </si>
  <si>
    <t xml:space="preserve">Hoja 'Marco Regulatorio' presente en posición 2 con las 6 secciones requeridas: NIIF Pymes, Legislación Tributaria, Prácticas Contables, Indicadores, Declaraciones SII y Referencias Legales. Contenido consistente con la estructura del archivo.</t>
  </si>
  <si>
    <t xml:space="preserve">NIIF Pymes Sec. 10 — Documentación de políticas contables</t>
  </si>
  <si>
    <t xml:space="preserve">RESUMEN DE AUDITORÍA</t>
  </si>
  <si>
    <t xml:space="preserve">Distribución por categoría:</t>
  </si>
  <si>
    <t xml:space="preserve">Fórmulas: 1  |  Marco Regulatorio: 1  |  Normativa: 8  |  Plan de Cuentas: 4</t>
  </si>
  <si>
    <t xml:space="preserve">Distribución por severidad:</t>
  </si>
  <si>
    <t xml:space="preserve">RECOMENDACIÓN:</t>
  </si>
  <si>
    <t xml:space="preserve">🟢 Todos los hallazgos ALTO y MEDIO han sido resueltos. El template está en compliance con la normativa contable y tributaria chilena vigente (marzo 2026). Solo quedan hallazgos BAJO (mejoras opcionales) e INFO (observaciones positivas).</t>
  </si>
  <si>
    <t xml:space="preserve">Auditoría generada automáticamente por el Sistema de Auditoría Contable MYPE Chile v2.0. Las verificaciones normativas fueron complementadas con búsqueda web de tasas vigentes al 22/03/2026.</t>
  </si>
</sst>
</file>

<file path=xl/styles.xml><?xml version="1.0" encoding="utf-8"?>
<styleSheet xmlns="http://schemas.openxmlformats.org/spreadsheetml/2006/main">
  <numFmts count="12">
    <numFmt numFmtId="164" formatCode="General"/>
    <numFmt numFmtId="165" formatCode="0"/>
    <numFmt numFmtId="166" formatCode="#,##0"/>
    <numFmt numFmtId="167" formatCode="dd/mm/yyyy"/>
    <numFmt numFmtId="168" formatCode="#,##0;\(#,##0\);\-"/>
    <numFmt numFmtId="169" formatCode="0.0\%"/>
    <numFmt numFmtId="170" formatCode="0.00"/>
    <numFmt numFmtId="171" formatCode="0.0%"/>
    <numFmt numFmtId="172" formatCode="0.0"/>
    <numFmt numFmtId="173" formatCode="0.0%;\(0.0%\);\-"/>
    <numFmt numFmtId="174" formatCode="0.0\x"/>
    <numFmt numFmtId="175" formatCode="#,##0;\(#,##0\)"/>
  </numFmts>
  <fonts count="69">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sz val="18"/>
      <color rgb="FFFFFFFF"/>
      <name val="Arial"/>
      <family val="0"/>
      <charset val="1"/>
    </font>
    <font>
      <i val="true"/>
      <sz val="9"/>
      <color rgb="FF455A64"/>
      <name val="Arial"/>
      <family val="0"/>
      <charset val="1"/>
    </font>
    <font>
      <i val="true"/>
      <sz val="11"/>
      <color rgb="FF2E5A9B"/>
      <name val="Arial"/>
      <family val="0"/>
      <charset val="1"/>
    </font>
    <font>
      <b val="true"/>
      <sz val="12"/>
      <color rgb="FFFFFFFF"/>
      <name val="Arial"/>
      <family val="0"/>
      <charset val="1"/>
    </font>
    <font>
      <sz val="14"/>
      <color rgb="FF000000"/>
      <name val="Arial"/>
      <family val="0"/>
      <charset val="1"/>
    </font>
    <font>
      <b val="true"/>
      <sz val="11"/>
      <color rgb="FF0D47A1"/>
      <name val="Arial"/>
      <family val="0"/>
      <charset val="1"/>
    </font>
    <font>
      <sz val="10"/>
      <color rgb="FF37474F"/>
      <name val="Arial"/>
      <family val="0"/>
      <charset val="1"/>
    </font>
    <font>
      <sz val="8"/>
      <color rgb="FF000000"/>
      <name val="Arial"/>
      <family val="0"/>
      <charset val="1"/>
    </font>
    <font>
      <b val="true"/>
      <sz val="11"/>
      <color rgb="FFFFFFFF"/>
      <name val="Arial"/>
      <family val="0"/>
      <charset val="1"/>
    </font>
    <font>
      <sz val="12"/>
      <color rgb="FF000000"/>
      <name val="Arial"/>
      <family val="0"/>
      <charset val="1"/>
    </font>
    <font>
      <i val="true"/>
      <sz val="8"/>
      <color rgb="FF455A64"/>
      <name val="Arial"/>
      <family val="0"/>
      <charset val="1"/>
    </font>
    <font>
      <b val="true"/>
      <sz val="10"/>
      <color rgb="FF0000FF"/>
      <name val="Arial"/>
      <family val="0"/>
      <charset val="1"/>
    </font>
    <font>
      <sz val="10"/>
      <name val="Arial"/>
      <family val="0"/>
      <charset val="1"/>
    </font>
    <font>
      <b val="true"/>
      <sz val="9"/>
      <color rgb="FF1F3864"/>
      <name val="Arial"/>
      <family val="0"/>
      <charset val="1"/>
    </font>
    <font>
      <sz val="9"/>
      <color rgb="FF455A64"/>
      <name val="Arial"/>
      <family val="0"/>
      <charset val="1"/>
    </font>
    <font>
      <i val="true"/>
      <sz val="9"/>
      <color rgb="FF2E5A9B"/>
      <name val="Arial"/>
      <family val="0"/>
      <charset val="1"/>
    </font>
    <font>
      <i val="true"/>
      <sz val="8"/>
      <color rgb="FF78909C"/>
      <name val="Arial"/>
      <family val="0"/>
      <charset val="1"/>
    </font>
    <font>
      <i val="true"/>
      <sz val="10"/>
      <color rgb="FF37474F"/>
      <name val="Arial"/>
      <family val="0"/>
      <charset val="1"/>
    </font>
    <font>
      <sz val="9"/>
      <color rgb="FF37474F"/>
      <name val="Arial"/>
      <family val="0"/>
      <charset val="1"/>
    </font>
    <font>
      <b val="true"/>
      <sz val="14"/>
      <color rgb="FFFFFFFF"/>
      <name val="Arial"/>
      <family val="0"/>
      <charset val="1"/>
    </font>
    <font>
      <i val="true"/>
      <sz val="9"/>
      <color rgb="FF37474F"/>
      <name val="Arial"/>
      <family val="0"/>
      <charset val="1"/>
    </font>
    <font>
      <b val="true"/>
      <sz val="9"/>
      <color rgb="FFFFFFFF"/>
      <name val="Arial"/>
      <family val="0"/>
      <charset val="1"/>
    </font>
    <font>
      <sz val="9"/>
      <color rgb="FF000000"/>
      <name val="Arial"/>
      <family val="0"/>
      <charset val="1"/>
    </font>
    <font>
      <b val="true"/>
      <sz val="10"/>
      <color rgb="FF1F3864"/>
      <name val="Arial"/>
      <family val="0"/>
      <charset val="1"/>
    </font>
    <font>
      <b val="true"/>
      <sz val="9"/>
      <color rgb="FF000000"/>
      <name val="Arial"/>
      <family val="0"/>
      <charset val="1"/>
    </font>
    <font>
      <b val="true"/>
      <sz val="10"/>
      <color rgb="FFFFFFFF"/>
      <name val="Arial"/>
      <family val="0"/>
      <charset val="1"/>
    </font>
    <font>
      <i val="true"/>
      <sz val="10"/>
      <color rgb="FF999999"/>
      <name val="Arial"/>
      <family val="0"/>
      <charset val="1"/>
    </font>
    <font>
      <sz val="10"/>
      <color rgb="FF000033"/>
      <name val="Arial"/>
      <family val="0"/>
      <charset val="1"/>
    </font>
    <font>
      <i val="true"/>
      <sz val="9"/>
      <color rgb="FF888888"/>
      <name val="Arial"/>
      <family val="0"/>
      <charset val="1"/>
    </font>
    <font>
      <b val="true"/>
      <sz val="9"/>
      <color rgb="FF2E5A9B"/>
      <name val="Arial"/>
      <family val="0"/>
      <charset val="1"/>
    </font>
    <font>
      <i val="true"/>
      <sz val="9"/>
      <color rgb="FF555555"/>
      <name val="Arial"/>
      <family val="0"/>
      <charset val="1"/>
    </font>
    <font>
      <b val="true"/>
      <sz val="10"/>
      <color rgb="FF2E5A9B"/>
      <name val="Arial"/>
      <family val="0"/>
      <charset val="1"/>
    </font>
    <font>
      <b val="true"/>
      <sz val="10"/>
      <name val="Arial"/>
      <family val="0"/>
      <charset val="1"/>
    </font>
    <font>
      <b val="true"/>
      <sz val="10"/>
      <color rgb="FF000000"/>
      <name val="Arial"/>
      <family val="0"/>
      <charset val="1"/>
    </font>
    <font>
      <b val="true"/>
      <sz val="11"/>
      <color rgb="FF1F3864"/>
      <name val="Arial"/>
      <family val="0"/>
      <charset val="1"/>
    </font>
    <font>
      <i val="true"/>
      <sz val="9"/>
      <color rgb="FF777777"/>
      <name val="Arial"/>
      <family val="0"/>
      <charset val="1"/>
    </font>
    <font>
      <i val="true"/>
      <sz val="9"/>
      <color rgb="FF444444"/>
      <name val="Arial"/>
      <family val="0"/>
      <charset val="1"/>
    </font>
    <font>
      <i val="true"/>
      <sz val="9"/>
      <color rgb="FF5D4037"/>
      <name val="Arial"/>
      <family val="0"/>
      <charset val="1"/>
    </font>
    <font>
      <b val="true"/>
      <sz val="12"/>
      <color rgb="FF1F3864"/>
      <name val="Arial"/>
      <family val="0"/>
      <charset val="1"/>
    </font>
    <font>
      <b val="true"/>
      <sz val="10"/>
      <color rgb="FF1565C0"/>
      <name val="Arial"/>
      <family val="0"/>
      <charset val="1"/>
    </font>
    <font>
      <b val="true"/>
      <sz val="10"/>
      <color rgb="FF01579B"/>
      <name val="Arial"/>
      <family val="0"/>
      <charset val="1"/>
    </font>
    <font>
      <b val="true"/>
      <sz val="10"/>
      <color rgb="FFB71C1C"/>
      <name val="Arial"/>
      <family val="0"/>
      <charset val="1"/>
    </font>
    <font>
      <b val="true"/>
      <sz val="10"/>
      <color rgb="FF880E4F"/>
      <name val="Arial"/>
      <family val="0"/>
      <charset val="1"/>
    </font>
    <font>
      <b val="true"/>
      <sz val="10"/>
      <color rgb="FF1B5E20"/>
      <name val="Arial"/>
      <family val="0"/>
      <charset val="1"/>
    </font>
    <font>
      <b val="true"/>
      <sz val="11"/>
      <color rgb="FF1B5E20"/>
      <name val="Arial"/>
      <family val="0"/>
      <charset val="1"/>
    </font>
    <font>
      <b val="true"/>
      <sz val="12"/>
      <color rgb="FF1B5E20"/>
      <name val="Arial"/>
      <family val="0"/>
      <charset val="1"/>
    </font>
    <font>
      <b val="true"/>
      <sz val="10"/>
      <color rgb="FF212121"/>
      <name val="Arial"/>
      <family val="0"/>
      <charset val="1"/>
    </font>
    <font>
      <sz val="12"/>
      <name val="Arial"/>
      <family val="0"/>
      <charset val="1"/>
    </font>
    <font>
      <sz val="9"/>
      <color rgb="FF555555"/>
      <name val="Arial"/>
      <family val="0"/>
      <charset val="1"/>
    </font>
    <font>
      <b val="true"/>
      <sz val="9"/>
      <color rgb="FF1B5E20"/>
      <name val="Arial"/>
      <family val="0"/>
      <charset val="1"/>
    </font>
    <font>
      <b val="true"/>
      <sz val="9"/>
      <color rgb="FFE65100"/>
      <name val="Arial"/>
      <family val="0"/>
      <charset val="1"/>
    </font>
    <font>
      <b val="true"/>
      <sz val="16"/>
      <color rgb="FFFFFFFF"/>
      <name val="Arial"/>
      <family val="0"/>
      <charset val="1"/>
    </font>
    <font>
      <i val="true"/>
      <sz val="9"/>
      <color rgb="FF607D8B"/>
      <name val="Arial"/>
      <family val="0"/>
      <charset val="1"/>
    </font>
    <font>
      <b val="true"/>
      <sz val="10"/>
      <color rgb="FF455A64"/>
      <name val="Arial"/>
      <family val="0"/>
      <charset val="1"/>
    </font>
    <font>
      <sz val="10"/>
      <color rgb="FF000000"/>
      <name val="Arial"/>
      <family val="0"/>
      <charset val="1"/>
    </font>
    <font>
      <sz val="10"/>
      <color rgb="FF455A64"/>
      <name val="Arial"/>
      <family val="0"/>
      <charset val="1"/>
    </font>
    <font>
      <sz val="14"/>
      <name val="Arial"/>
      <family val="0"/>
      <charset val="1"/>
    </font>
    <font>
      <sz val="8"/>
      <color rgb="FF607D8B"/>
      <name val="Arial"/>
      <family val="0"/>
      <charset val="1"/>
    </font>
    <font>
      <sz val="8"/>
      <color rgb="FF2E7D32"/>
      <name val="Arial"/>
      <family val="0"/>
      <charset val="1"/>
    </font>
    <font>
      <sz val="8"/>
      <color rgb="FFF57F17"/>
      <name val="Arial"/>
      <family val="0"/>
      <charset val="1"/>
    </font>
    <font>
      <b val="true"/>
      <sz val="9"/>
      <name val="Arial"/>
      <family val="0"/>
      <charset val="1"/>
    </font>
    <font>
      <sz val="9"/>
      <color rgb="FF1565C0"/>
      <name val="Arial"/>
      <family val="0"/>
      <charset val="1"/>
    </font>
    <font>
      <sz val="9"/>
      <color rgb="FFB71C1C"/>
      <name val="Arial"/>
      <family val="0"/>
      <charset val="1"/>
    </font>
    <font>
      <b val="true"/>
      <sz val="9"/>
      <color rgb="FF37474F"/>
      <name val="Arial"/>
      <family val="0"/>
      <charset val="1"/>
    </font>
  </fonts>
  <fills count="39">
    <fill>
      <patternFill patternType="none"/>
    </fill>
    <fill>
      <patternFill patternType="gray125"/>
    </fill>
    <fill>
      <patternFill patternType="solid">
        <fgColor rgb="FF1F3864"/>
        <bgColor rgb="FF1A237E"/>
      </patternFill>
    </fill>
    <fill>
      <patternFill patternType="solid">
        <fgColor rgb="FFFFFDE7"/>
        <bgColor rgb="FFFFF8E1"/>
      </patternFill>
    </fill>
    <fill>
      <patternFill patternType="solid">
        <fgColor rgb="FF00897B"/>
        <bgColor rgb="FF00695C"/>
      </patternFill>
    </fill>
    <fill>
      <patternFill patternType="solid">
        <fgColor rgb="FFD6E4F7"/>
        <bgColor rgb="FFE0F2F1"/>
      </patternFill>
    </fill>
    <fill>
      <patternFill patternType="solid">
        <fgColor rgb="FFFFFFFF"/>
        <bgColor rgb="FFFFFDE7"/>
      </patternFill>
    </fill>
    <fill>
      <patternFill patternType="solid">
        <fgColor rgb="FF2E5A9B"/>
        <bgColor rgb="FF1565C0"/>
      </patternFill>
    </fill>
    <fill>
      <patternFill patternType="solid">
        <fgColor rgb="FFE8F5E9"/>
        <bgColor rgb="FFE0F2F1"/>
      </patternFill>
    </fill>
    <fill>
      <patternFill patternType="solid">
        <fgColor rgb="FFC62828"/>
        <bgColor rgb="FFB71C1C"/>
      </patternFill>
    </fill>
    <fill>
      <patternFill patternType="solid">
        <fgColor rgb="FFE8EEF8"/>
        <bgColor rgb="FFE8F0FE"/>
      </patternFill>
    </fill>
    <fill>
      <patternFill patternType="solid">
        <fgColor rgb="FFFFF8E1"/>
        <bgColor rgb="FFFFF3E0"/>
      </patternFill>
    </fill>
    <fill>
      <patternFill patternType="solid">
        <fgColor rgb="FFF5F5F5"/>
        <bgColor rgb="FFE8F5E9"/>
      </patternFill>
    </fill>
    <fill>
      <patternFill patternType="solid">
        <fgColor rgb="FF1B5E20"/>
        <bgColor rgb="FF00695C"/>
      </patternFill>
    </fill>
    <fill>
      <patternFill patternType="solid">
        <fgColor rgb="FFE65100"/>
        <bgColor rgb="FFE53935"/>
      </patternFill>
    </fill>
    <fill>
      <patternFill patternType="solid">
        <fgColor rgb="FFFBE9E7"/>
        <bgColor rgb="FFFFEBEE"/>
      </patternFill>
    </fill>
    <fill>
      <patternFill patternType="solid">
        <fgColor rgb="FF00695C"/>
        <bgColor rgb="FF01579B"/>
      </patternFill>
    </fill>
    <fill>
      <patternFill patternType="solid">
        <fgColor rgb="FFE0F2F1"/>
        <bgColor rgb="FFE3F2FD"/>
      </patternFill>
    </fill>
    <fill>
      <patternFill patternType="solid">
        <fgColor rgb="FF4D148E"/>
        <bgColor rgb="FF4A148C"/>
      </patternFill>
    </fill>
    <fill>
      <patternFill patternType="solid">
        <fgColor rgb="FFEDE7F6"/>
        <bgColor rgb="FFF3E5F5"/>
      </patternFill>
    </fill>
    <fill>
      <patternFill patternType="solid">
        <fgColor rgb="FF1565C0"/>
        <bgColor rgb="FF01579B"/>
      </patternFill>
    </fill>
    <fill>
      <patternFill patternType="solid">
        <fgColor rgb="FFE3F2FD"/>
        <bgColor rgb="FFE8F0FE"/>
      </patternFill>
    </fill>
    <fill>
      <patternFill patternType="solid">
        <fgColor rgb="FFBBDEFB"/>
        <bgColor rgb="FFB3E5FC"/>
      </patternFill>
    </fill>
    <fill>
      <patternFill patternType="solid">
        <fgColor rgb="FFB3E5FC"/>
        <bgColor rgb="FFBBDEFB"/>
      </patternFill>
    </fill>
    <fill>
      <patternFill patternType="solid">
        <fgColor rgb="FFFCE4EC"/>
        <bgColor rgb="FFFBE9E7"/>
      </patternFill>
    </fill>
    <fill>
      <patternFill patternType="solid">
        <fgColor rgb="FFF8BBD0"/>
        <bgColor rgb="FFFCE4EC"/>
      </patternFill>
    </fill>
    <fill>
      <patternFill patternType="solid">
        <fgColor rgb="FFF48FB1"/>
        <bgColor rgb="FFF8BBD0"/>
      </patternFill>
    </fill>
    <fill>
      <patternFill patternType="solid">
        <fgColor rgb="FFC8E6C9"/>
        <bgColor rgb="FFD6E4F7"/>
      </patternFill>
    </fill>
    <fill>
      <patternFill patternType="solid">
        <fgColor rgb="FF880E4F"/>
        <bgColor rgb="FFB71C1C"/>
      </patternFill>
    </fill>
    <fill>
      <patternFill patternType="solid">
        <fgColor rgb="FFFFF3E0"/>
        <bgColor rgb="FFFFF8E1"/>
      </patternFill>
    </fill>
    <fill>
      <patternFill patternType="solid">
        <fgColor rgb="FF034D9F"/>
        <bgColor rgb="FF0D47A1"/>
      </patternFill>
    </fill>
    <fill>
      <patternFill patternType="solid">
        <fgColor rgb="FF5D4037"/>
        <bgColor rgb="FF444444"/>
      </patternFill>
    </fill>
    <fill>
      <patternFill patternType="solid">
        <fgColor rgb="FFEFEBE9"/>
        <bgColor rgb="FFEDE7F6"/>
      </patternFill>
    </fill>
    <fill>
      <patternFill patternType="solid">
        <fgColor rgb="FFF3E5F5"/>
        <bgColor rgb="FFEDE7F6"/>
      </patternFill>
    </fill>
    <fill>
      <patternFill patternType="solid">
        <fgColor rgb="FF1A237E"/>
        <bgColor rgb="FF1F3864"/>
      </patternFill>
    </fill>
    <fill>
      <patternFill patternType="solid">
        <fgColor rgb="FF3E2723"/>
        <bgColor rgb="FF212121"/>
      </patternFill>
    </fill>
    <fill>
      <patternFill patternType="solid">
        <fgColor rgb="FFB71C1C"/>
        <bgColor rgb="FFC62828"/>
      </patternFill>
    </fill>
    <fill>
      <patternFill patternType="solid">
        <fgColor rgb="FFFFEBEE"/>
        <bgColor rgb="FFFBE9E7"/>
      </patternFill>
    </fill>
    <fill>
      <patternFill patternType="solid">
        <fgColor rgb="FFE8F0FE"/>
        <bgColor rgb="FFE8EEF8"/>
      </patternFill>
    </fill>
  </fills>
  <borders count="11">
    <border diagonalUp="false" diagonalDown="false">
      <left/>
      <right/>
      <top/>
      <bottom/>
      <diagonal/>
    </border>
    <border diagonalUp="false" diagonalDown="false">
      <left style="thin">
        <color rgb="FFBDBDBD"/>
      </left>
      <right/>
      <top style="thin">
        <color rgb="FFBDBDBD"/>
      </top>
      <bottom style="thin">
        <color rgb="FFBDBDBD"/>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medium">
        <color rgb="FF4D148E"/>
      </left>
      <right style="medium">
        <color rgb="FF4D148E"/>
      </right>
      <top style="medium">
        <color rgb="FF4D148E"/>
      </top>
      <bottom style="medium">
        <color rgb="FF4D148E"/>
      </bottom>
      <diagonal/>
    </border>
    <border diagonalUp="false" diagonalDown="false">
      <left style="medium">
        <color rgb="FFF78017"/>
      </left>
      <right style="medium">
        <color rgb="FFF78017"/>
      </right>
      <top style="medium">
        <color rgb="FFF78017"/>
      </top>
      <bottom style="medium">
        <color rgb="FFF78017"/>
      </bottom>
      <diagonal/>
    </border>
    <border diagonalUp="false" diagonalDown="false">
      <left style="medium">
        <color rgb="FF1B5E20"/>
      </left>
      <right style="medium">
        <color rgb="FF1B5E20"/>
      </right>
      <top style="medium">
        <color rgb="FF1B5E20"/>
      </top>
      <bottom style="medium">
        <color rgb="FF1B5E20"/>
      </bottom>
      <diagonal/>
    </border>
    <border diagonalUp="false" diagonalDown="false">
      <left style="medium">
        <color rgb="FF2E5A9B"/>
      </left>
      <right style="medium">
        <color rgb="FF2E5A9B"/>
      </right>
      <top style="medium">
        <color rgb="FF2E5A9B"/>
      </top>
      <bottom style="medium">
        <color rgb="FF2E5A9B"/>
      </bottom>
      <diagonal/>
    </border>
    <border diagonalUp="false" diagonalDown="false">
      <left style="medium">
        <color rgb="FFB71C1C"/>
      </left>
      <right style="medium">
        <color rgb="FFB71C1C"/>
      </right>
      <top style="medium">
        <color rgb="FFB71C1C"/>
      </top>
      <bottom style="medium">
        <color rgb="FFB71C1C"/>
      </bottom>
      <diagonal/>
    </border>
    <border diagonalUp="false" diagonalDown="false">
      <left style="medium">
        <color rgb="FF00695C"/>
      </left>
      <right style="medium">
        <color rgb="FF00695C"/>
      </right>
      <top style="medium">
        <color rgb="FF00695C"/>
      </top>
      <bottom style="medium">
        <color rgb="FF00695C"/>
      </bottom>
      <diagonal/>
    </border>
    <border diagonalUp="false" diagonalDown="false">
      <left/>
      <right/>
      <top style="thin">
        <color rgb="FFBDBDBD"/>
      </top>
      <bottom style="thin">
        <color rgb="FFBDBDBD"/>
      </bottom>
      <diagonal/>
    </border>
    <border diagonalUp="false" diagonalDown="false">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0" fillId="5" borderId="0" xfId="0" applyFont="true" applyBorder="false" applyAlignment="true" applyProtection="false">
      <alignment horizontal="left" vertical="center" textRotation="0" wrapText="false" indent="0" shrinkToFit="false"/>
      <protection locked="true" hidden="false"/>
    </xf>
    <xf numFmtId="164" fontId="11" fillId="5" borderId="0" xfId="0" applyFont="true" applyBorder="fals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10" fillId="6" borderId="2" xfId="0" applyFont="true" applyBorder="true" applyAlignment="true" applyProtection="false">
      <alignment horizontal="left" vertical="center" textRotation="0" wrapText="false" indent="0" shrinkToFit="false"/>
      <protection locked="true" hidden="false"/>
    </xf>
    <xf numFmtId="164" fontId="11" fillId="6" borderId="0" xfId="0" applyFont="true" applyBorder="fals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left" vertical="center" textRotation="0" wrapText="false" indent="0" shrinkToFit="false"/>
      <protection locked="true" hidden="false"/>
    </xf>
    <xf numFmtId="164" fontId="9" fillId="6" borderId="0" xfId="0" applyFont="true" applyBorder="false" applyAlignment="true" applyProtection="false">
      <alignment horizontal="center" vertical="center" textRotation="0" wrapText="false" indent="0" shrinkToFit="false"/>
      <protection locked="true" hidden="false"/>
    </xf>
    <xf numFmtId="164" fontId="10" fillId="6"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4" fillId="8" borderId="2" xfId="0" applyFont="true" applyBorder="true" applyAlignment="true" applyProtection="false">
      <alignment horizontal="center" vertical="center" textRotation="0" wrapText="fals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14" fillId="6" borderId="2" xfId="0" applyFont="true" applyBorder="true" applyAlignment="true" applyProtection="false">
      <alignment horizontal="center" vertical="center" textRotation="0" wrapText="false" indent="0" shrinkToFit="false"/>
      <protection locked="true" hidden="false"/>
    </xf>
    <xf numFmtId="164" fontId="11" fillId="6" borderId="2" xfId="0" applyFont="true" applyBorder="true" applyAlignment="true" applyProtection="false">
      <alignment horizontal="left" vertical="center" textRotation="0" wrapText="true" indent="0" shrinkToFit="false"/>
      <protection locked="true" hidden="false"/>
    </xf>
    <xf numFmtId="164" fontId="15" fillId="3"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false" indent="0" shrinkToFit="false"/>
      <protection locked="true" hidden="false"/>
    </xf>
    <xf numFmtId="164" fontId="17" fillId="0" borderId="2" xfId="0" applyFont="true" applyBorder="true" applyAlignment="true" applyProtection="false">
      <alignment horizontal="left" vertical="center" textRotation="0" wrapText="false" indent="0" shrinkToFit="false"/>
      <protection locked="true" hidden="false"/>
    </xf>
    <xf numFmtId="164" fontId="13" fillId="7" borderId="2" xfId="0" applyFont="true" applyBorder="true" applyAlignment="true" applyProtection="false">
      <alignment horizontal="left" vertical="center" textRotation="0" wrapText="false" indent="0" shrinkToFit="false"/>
      <protection locked="true" hidden="false"/>
    </xf>
    <xf numFmtId="164" fontId="18" fillId="6" borderId="2" xfId="0" applyFont="true" applyBorder="true" applyAlignment="true" applyProtection="false">
      <alignment horizontal="left" vertical="center" textRotation="0" wrapText="false" indent="0" shrinkToFit="false"/>
      <protection locked="true" hidden="false"/>
    </xf>
    <xf numFmtId="164" fontId="19" fillId="6" borderId="2" xfId="0" applyFont="true" applyBorder="true" applyAlignment="true" applyProtection="false">
      <alignment horizontal="left" vertical="center" textRotation="0" wrapText="false" indent="0" shrinkToFit="false"/>
      <protection locked="true" hidden="false"/>
    </xf>
    <xf numFmtId="164" fontId="20" fillId="6" borderId="2" xfId="0" applyFont="true" applyBorder="true" applyAlignment="true" applyProtection="false">
      <alignment horizontal="left" vertical="center"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21" fillId="5" borderId="2"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3" fillId="9" borderId="2" xfId="0" applyFont="true" applyBorder="true" applyAlignment="true" applyProtection="false">
      <alignment horizontal="left" vertical="center" textRotation="0" wrapText="false" indent="0" shrinkToFit="false"/>
      <protection locked="true" hidden="false"/>
    </xf>
    <xf numFmtId="164" fontId="23" fillId="3" borderId="2" xfId="0" applyFont="true" applyBorder="true" applyAlignment="true" applyProtection="false">
      <alignment horizontal="left" vertical="center" textRotation="0" wrapText="true" indent="0" shrinkToFit="false"/>
      <protection locked="true" hidden="false"/>
    </xf>
    <xf numFmtId="164" fontId="24" fillId="2" borderId="2" xfId="0" applyFont="true" applyBorder="true" applyAlignment="true" applyProtection="false">
      <alignment horizontal="center" vertical="center" textRotation="0" wrapText="false" indent="0" shrinkToFit="false"/>
      <protection locked="true" hidden="false"/>
    </xf>
    <xf numFmtId="164" fontId="25" fillId="3" borderId="2" xfId="0" applyFont="true" applyBorder="true" applyAlignment="true" applyProtection="false">
      <alignment horizontal="center" vertical="center" textRotation="0" wrapText="tru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26" fillId="7" borderId="2" xfId="0" applyFont="true" applyBorder="true" applyAlignment="true" applyProtection="false">
      <alignment horizontal="center" vertical="center" textRotation="0" wrapText="false" indent="0" shrinkToFit="false"/>
      <protection locked="true" hidden="false"/>
    </xf>
    <xf numFmtId="164" fontId="27" fillId="0" borderId="2" xfId="0" applyFont="true" applyBorder="true" applyAlignment="true" applyProtection="false">
      <alignment horizontal="left" vertical="center" textRotation="0" wrapText="true" indent="0" shrinkToFit="false"/>
      <protection locked="true" hidden="false"/>
    </xf>
    <xf numFmtId="164" fontId="28" fillId="10" borderId="2" xfId="0" applyFont="true" applyBorder="true" applyAlignment="true" applyProtection="false">
      <alignment horizontal="left" vertical="center" textRotation="0" wrapText="false" indent="0" shrinkToFit="false"/>
      <protection locked="true" hidden="false"/>
    </xf>
    <xf numFmtId="164" fontId="27" fillId="0" borderId="2" xfId="0" applyFont="true" applyBorder="true" applyAlignment="true" applyProtection="false">
      <alignment horizontal="center" vertical="center" textRotation="0" wrapText="false" indent="0" shrinkToFit="false"/>
      <protection locked="true" hidden="false"/>
    </xf>
    <xf numFmtId="164" fontId="29" fillId="0" borderId="2"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19" fillId="0" borderId="2" xfId="0" applyFont="true" applyBorder="true" applyAlignment="true" applyProtection="false">
      <alignment horizontal="left" vertical="center" textRotation="0" wrapText="true" indent="0" shrinkToFit="false"/>
      <protection locked="true" hidden="false"/>
    </xf>
    <xf numFmtId="164" fontId="21" fillId="5" borderId="2"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true" applyAlignment="true" applyProtection="false">
      <alignment horizontal="center" vertical="center" textRotation="0" wrapText="false" indent="0" shrinkToFit="false"/>
      <protection locked="true" hidden="false"/>
    </xf>
    <xf numFmtId="164" fontId="25" fillId="3" borderId="0" xfId="0" applyFont="true" applyBorder="true" applyAlignment="true" applyProtection="false">
      <alignment horizontal="left" vertical="center" textRotation="0" wrapText="true" indent="0" shrinkToFit="false"/>
      <protection locked="true" hidden="false"/>
    </xf>
    <xf numFmtId="164" fontId="30" fillId="7" borderId="2" xfId="0" applyFont="true" applyBorder="true" applyAlignment="true" applyProtection="false">
      <alignment horizontal="center" vertical="center" textRotation="0" wrapText="false" indent="0" shrinkToFit="false"/>
      <protection locked="true" hidden="false"/>
    </xf>
    <xf numFmtId="164" fontId="16" fillId="11" borderId="2" xfId="0" applyFont="true" applyBorder="true" applyAlignment="true" applyProtection="false">
      <alignment horizontal="left" vertical="center" textRotation="0" wrapText="false" indent="0" shrinkToFit="false"/>
      <protection locked="true" hidden="false"/>
    </xf>
    <xf numFmtId="164" fontId="31" fillId="11" borderId="2" xfId="0" applyFont="true" applyBorder="true" applyAlignment="true" applyProtection="false">
      <alignment horizontal="left" vertical="center" textRotation="0" wrapText="false" indent="0" shrinkToFit="false"/>
      <protection locked="true" hidden="false"/>
    </xf>
    <xf numFmtId="164" fontId="17" fillId="11" borderId="2" xfId="0" applyFont="true" applyBorder="true" applyAlignment="true" applyProtection="false">
      <alignment horizontal="left" vertical="center" textRotation="0" wrapText="false" indent="0" shrinkToFit="false"/>
      <protection locked="true" hidden="false"/>
    </xf>
    <xf numFmtId="164" fontId="17" fillId="12" borderId="2" xfId="0" applyFont="true" applyBorder="true" applyAlignment="true" applyProtection="false">
      <alignment horizontal="left" vertical="center" textRotation="0" wrapText="false" indent="0" shrinkToFit="false"/>
      <protection locked="true" hidden="false"/>
    </xf>
    <xf numFmtId="164" fontId="17" fillId="6" borderId="2" xfId="0" applyFont="true" applyBorder="true" applyAlignment="true" applyProtection="false">
      <alignment horizontal="left" vertical="center" textRotation="0" wrapText="false" indent="0" shrinkToFit="false"/>
      <protection locked="true" hidden="false"/>
    </xf>
    <xf numFmtId="164" fontId="30" fillId="7" borderId="2" xfId="0" applyFont="true" applyBorder="true" applyAlignment="true" applyProtection="false">
      <alignment horizontal="right" vertical="center" textRotation="0" wrapText="false" indent="0" shrinkToFit="false"/>
      <protection locked="true" hidden="false"/>
    </xf>
    <xf numFmtId="164" fontId="32" fillId="11" borderId="2" xfId="0" applyFont="true" applyBorder="true" applyAlignment="true" applyProtection="false">
      <alignment horizontal="left" vertical="center"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64" fontId="30" fillId="13" borderId="0" xfId="0" applyFont="true" applyBorder="true" applyAlignment="true" applyProtection="false">
      <alignment horizontal="center" vertical="center" textRotation="0" wrapText="false" indent="0" shrinkToFit="false"/>
      <protection locked="true" hidden="false"/>
    </xf>
    <xf numFmtId="164" fontId="30" fillId="2" borderId="0" xfId="0" applyFont="true" applyBorder="true" applyAlignment="true" applyProtection="false">
      <alignment horizontal="center" vertical="center" textRotation="0" wrapText="false" indent="0" shrinkToFit="false"/>
      <protection locked="true" hidden="false"/>
    </xf>
    <xf numFmtId="164" fontId="34" fillId="5" borderId="2" xfId="0" applyFont="true" applyBorder="true" applyAlignment="true" applyProtection="false">
      <alignment horizontal="center" vertical="center" textRotation="0" wrapText="false" indent="0" shrinkToFit="false"/>
      <protection locked="true" hidden="false"/>
    </xf>
    <xf numFmtId="164" fontId="32" fillId="8" borderId="2" xfId="0" applyFont="true" applyBorder="true" applyAlignment="true" applyProtection="false">
      <alignment horizontal="left" vertical="center" textRotation="0" wrapText="false" indent="0" shrinkToFit="false"/>
      <protection locked="true" hidden="false"/>
    </xf>
    <xf numFmtId="164" fontId="13" fillId="14" borderId="0" xfId="0" applyFont="true" applyBorder="true" applyAlignment="true" applyProtection="false">
      <alignment horizontal="center" vertical="center" textRotation="0" wrapText="false" indent="0" shrinkToFit="false"/>
      <protection locked="true" hidden="false"/>
    </xf>
    <xf numFmtId="164" fontId="35" fillId="15" borderId="0" xfId="0" applyFont="true" applyBorder="true" applyAlignment="true" applyProtection="false">
      <alignment horizontal="center" vertical="center" textRotation="0" wrapText="false" indent="0" shrinkToFit="false"/>
      <protection locked="true" hidden="false"/>
    </xf>
    <xf numFmtId="164" fontId="30" fillId="7" borderId="2" xfId="0" applyFont="true" applyBorder="true" applyAlignment="true" applyProtection="false">
      <alignment horizontal="center" vertical="center" textRotation="0" wrapText="true" indent="0" shrinkToFit="false"/>
      <protection locked="true" hidden="false"/>
    </xf>
    <xf numFmtId="165" fontId="17" fillId="6" borderId="2" xfId="0" applyFont="true" applyBorder="true" applyAlignment="true" applyProtection="false">
      <alignment horizontal="center" vertical="center" textRotation="0" wrapText="fals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5" fontId="17" fillId="12" borderId="2" xfId="0" applyFont="true" applyBorder="true" applyAlignment="true" applyProtection="false">
      <alignment horizontal="center" vertical="center" textRotation="0" wrapText="false" indent="0" shrinkToFit="false"/>
      <protection locked="true" hidden="false"/>
    </xf>
    <xf numFmtId="164" fontId="17" fillId="12" borderId="2" xfId="0" applyFont="true" applyBorder="true" applyAlignment="true" applyProtection="false">
      <alignment horizontal="center" vertical="center" textRotation="0" wrapText="false" indent="0" shrinkToFit="false"/>
      <protection locked="true" hidden="false"/>
    </xf>
    <xf numFmtId="164" fontId="13" fillId="16" borderId="0" xfId="0" applyFont="true" applyBorder="true" applyAlignment="true" applyProtection="false">
      <alignment horizontal="center" vertical="center" textRotation="0" wrapText="false" indent="0" shrinkToFit="false"/>
      <protection locked="true" hidden="false"/>
    </xf>
    <xf numFmtId="164" fontId="32" fillId="17" borderId="2" xfId="0" applyFont="true" applyBorder="true" applyAlignment="true" applyProtection="false">
      <alignment horizontal="left" vertical="center" textRotation="0" wrapText="false" indent="0" shrinkToFit="false"/>
      <protection locked="true" hidden="false"/>
    </xf>
    <xf numFmtId="164" fontId="36" fillId="5" borderId="2" xfId="0" applyFont="true" applyBorder="true" applyAlignment="true" applyProtection="false">
      <alignment horizontal="right" vertical="center" textRotation="0" wrapText="false" indent="0" shrinkToFit="false"/>
      <protection locked="true" hidden="false"/>
    </xf>
    <xf numFmtId="166" fontId="37" fillId="5" borderId="2" xfId="0" applyFont="true" applyBorder="true" applyAlignment="true" applyProtection="false">
      <alignment horizontal="right" vertical="center" textRotation="0" wrapText="false" indent="0" shrinkToFit="false"/>
      <protection locked="true" hidden="false"/>
    </xf>
    <xf numFmtId="164" fontId="38" fillId="5" borderId="2" xfId="0" applyFont="true" applyBorder="true" applyAlignment="true" applyProtection="false">
      <alignment horizontal="center" vertical="center" textRotation="0" wrapText="false" indent="0" shrinkToFit="false"/>
      <protection locked="true" hidden="false"/>
    </xf>
    <xf numFmtId="164" fontId="25" fillId="5" borderId="2" xfId="0" applyFont="true" applyBorder="true" applyAlignment="true" applyProtection="false">
      <alignment horizontal="left" vertical="center" textRotation="0" wrapText="true" indent="0" shrinkToFit="false"/>
      <protection locked="true" hidden="false"/>
    </xf>
    <xf numFmtId="164" fontId="30" fillId="2" borderId="2" xfId="0" applyFont="true" applyBorder="true" applyAlignment="true" applyProtection="false">
      <alignment horizontal="center" vertical="center" textRotation="0" wrapText="true" indent="0" shrinkToFit="false"/>
      <protection locked="true" hidden="false"/>
    </xf>
    <xf numFmtId="167" fontId="17" fillId="6" borderId="2" xfId="0" applyFont="true" applyBorder="true" applyAlignment="true" applyProtection="false">
      <alignment horizontal="left" vertical="center" textRotation="0" wrapText="false" indent="0" shrinkToFit="false"/>
      <protection locked="true" hidden="false"/>
    </xf>
    <xf numFmtId="164" fontId="31" fillId="6" borderId="2" xfId="0" applyFont="true" applyBorder="true" applyAlignment="true" applyProtection="false">
      <alignment horizontal="left" vertical="center" textRotation="0" wrapText="false" indent="0" shrinkToFit="false"/>
      <protection locked="true" hidden="false"/>
    </xf>
    <xf numFmtId="166" fontId="17" fillId="6" borderId="2" xfId="0" applyFont="true" applyBorder="true" applyAlignment="true" applyProtection="false">
      <alignment horizontal="right" vertical="center" textRotation="0" wrapText="false" indent="0" shrinkToFit="false"/>
      <protection locked="true" hidden="false"/>
    </xf>
    <xf numFmtId="167" fontId="17" fillId="12" borderId="2" xfId="0" applyFont="true" applyBorder="true" applyAlignment="true" applyProtection="false">
      <alignment horizontal="left" vertical="center" textRotation="0" wrapText="false" indent="0" shrinkToFit="false"/>
      <protection locked="true" hidden="false"/>
    </xf>
    <xf numFmtId="166" fontId="17" fillId="12" borderId="2" xfId="0" applyFont="true" applyBorder="true" applyAlignment="true" applyProtection="false">
      <alignment horizontal="right" vertical="center" textRotation="0" wrapText="false" indent="0" shrinkToFit="false"/>
      <protection locked="true" hidden="false"/>
    </xf>
    <xf numFmtId="166" fontId="17" fillId="12" borderId="2" xfId="0" applyFont="true" applyBorder="true" applyAlignment="true" applyProtection="false">
      <alignment horizontal="left" vertical="center" textRotation="0" wrapText="false" indent="0" shrinkToFit="false"/>
      <protection locked="true" hidden="false"/>
    </xf>
    <xf numFmtId="166" fontId="17" fillId="6" borderId="2" xfId="0" applyFont="true" applyBorder="true" applyAlignment="true" applyProtection="false">
      <alignment horizontal="left" vertical="center" textRotation="0" wrapText="false" indent="0" shrinkToFit="false"/>
      <protection locked="true" hidden="false"/>
    </xf>
    <xf numFmtId="164" fontId="13" fillId="18" borderId="0" xfId="0" applyFont="true" applyBorder="true" applyAlignment="true" applyProtection="false">
      <alignment horizontal="center" vertical="center" textRotation="0" wrapText="false" indent="0" shrinkToFit="false"/>
      <protection locked="true" hidden="false"/>
    </xf>
    <xf numFmtId="164" fontId="39" fillId="11" borderId="2" xfId="0" applyFont="true" applyBorder="true" applyAlignment="true" applyProtection="false">
      <alignment horizontal="center" vertical="center" textRotation="0" wrapText="false" indent="0" shrinkToFit="false"/>
      <protection locked="true" hidden="false"/>
    </xf>
    <xf numFmtId="165" fontId="39" fillId="11" borderId="2" xfId="0" applyFont="true" applyBorder="true" applyAlignment="true" applyProtection="false">
      <alignment horizontal="center" vertical="center" textRotation="0" wrapText="false" indent="0" shrinkToFit="false"/>
      <protection locked="true" hidden="false"/>
    </xf>
    <xf numFmtId="164" fontId="40" fillId="0" borderId="0" xfId="0" applyFont="true" applyBorder="false" applyAlignment="true" applyProtection="false">
      <alignment horizontal="left" vertical="center" textRotation="0" wrapText="false" indent="0" shrinkToFit="false"/>
      <protection locked="true" hidden="false"/>
    </xf>
    <xf numFmtId="164" fontId="41" fillId="19" borderId="0" xfId="0" applyFont="true" applyBorder="true" applyAlignment="true" applyProtection="false">
      <alignment horizontal="center" vertical="center" textRotation="0" wrapText="false" indent="0" shrinkToFit="false"/>
      <protection locked="true" hidden="false"/>
    </xf>
    <xf numFmtId="165" fontId="37" fillId="6" borderId="2" xfId="0" applyFont="true" applyBorder="true" applyAlignment="true" applyProtection="false">
      <alignment horizontal="center" vertical="center" textRotation="0" wrapText="false" indent="0" shrinkToFit="false"/>
      <protection locked="true" hidden="false"/>
    </xf>
    <xf numFmtId="168" fontId="17" fillId="6" borderId="2" xfId="0" applyFont="true" applyBorder="true" applyAlignment="true" applyProtection="false">
      <alignment horizontal="right" vertical="center" textRotation="0" wrapText="false" indent="0" shrinkToFit="false"/>
      <protection locked="true" hidden="false"/>
    </xf>
    <xf numFmtId="168" fontId="37" fillId="6" borderId="2" xfId="0" applyFont="true" applyBorder="true" applyAlignment="true" applyProtection="false">
      <alignment horizontal="right" vertical="center" textRotation="0" wrapText="false" indent="0" shrinkToFit="false"/>
      <protection locked="true" hidden="false"/>
    </xf>
    <xf numFmtId="165" fontId="37" fillId="12" borderId="2" xfId="0" applyFont="true" applyBorder="true" applyAlignment="true" applyProtection="false">
      <alignment horizontal="center" vertical="center" textRotation="0" wrapText="false" indent="0" shrinkToFit="false"/>
      <protection locked="true" hidden="false"/>
    </xf>
    <xf numFmtId="168" fontId="17" fillId="12" borderId="2" xfId="0" applyFont="true" applyBorder="true" applyAlignment="true" applyProtection="false">
      <alignment horizontal="right" vertical="center" textRotation="0" wrapText="false" indent="0" shrinkToFit="false"/>
      <protection locked="true" hidden="false"/>
    </xf>
    <xf numFmtId="168" fontId="37" fillId="12" borderId="2" xfId="0" applyFont="true" applyBorder="true" applyAlignment="true" applyProtection="false">
      <alignment horizontal="right"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8" fontId="13" fillId="2" borderId="2" xfId="0" applyFont="true" applyBorder="true" applyAlignment="true" applyProtection="false">
      <alignment horizontal="right" vertical="center" textRotation="0" wrapText="false" indent="0" shrinkToFit="false"/>
      <protection locked="true" hidden="false"/>
    </xf>
    <xf numFmtId="164" fontId="42" fillId="19" borderId="3" xfId="0" applyFont="true" applyBorder="true" applyAlignment="true" applyProtection="false">
      <alignment horizontal="left" vertical="center" textRotation="0" wrapText="true" indent="0" shrinkToFit="false"/>
      <protection locked="true" hidden="false"/>
    </xf>
    <xf numFmtId="164" fontId="43" fillId="5" borderId="2" xfId="0" applyFont="true" applyBorder="true" applyAlignment="true" applyProtection="false">
      <alignment horizontal="center" vertical="center" textRotation="0" wrapText="false" indent="0" shrinkToFit="false"/>
      <protection locked="true" hidden="false"/>
    </xf>
    <xf numFmtId="164" fontId="30" fillId="2" borderId="2" xfId="0" applyFont="true" applyBorder="true" applyAlignment="true" applyProtection="false">
      <alignment horizontal="center" vertical="center" textRotation="0" wrapText="false" indent="0" shrinkToFit="false"/>
      <protection locked="true" hidden="false"/>
    </xf>
    <xf numFmtId="164" fontId="30" fillId="20" borderId="2" xfId="0" applyFont="true" applyBorder="true" applyAlignment="true" applyProtection="false">
      <alignment horizontal="left" vertical="center" textRotation="0" wrapText="false" indent="0" shrinkToFit="false"/>
      <protection locked="true" hidden="false"/>
    </xf>
    <xf numFmtId="164" fontId="44" fillId="21" borderId="2" xfId="0" applyFont="true" applyBorder="true" applyAlignment="true" applyProtection="false">
      <alignment horizontal="left" vertical="center" textRotation="0" wrapText="false" indent="0" shrinkToFit="false"/>
      <protection locked="true" hidden="false"/>
    </xf>
    <xf numFmtId="164" fontId="42" fillId="3" borderId="4" xfId="0" applyFont="true" applyBorder="true" applyAlignment="true" applyProtection="false">
      <alignment horizontal="left" vertical="center" textRotation="0" wrapText="true" indent="0" shrinkToFit="false"/>
      <protection locked="true" hidden="false"/>
    </xf>
    <xf numFmtId="164" fontId="0" fillId="6" borderId="2" xfId="0" applyFont="false" applyBorder="true" applyAlignment="true" applyProtection="false">
      <alignment horizontal="general" vertical="bottom" textRotation="0" wrapText="false" indent="0" shrinkToFit="false"/>
      <protection locked="true" hidden="false"/>
    </xf>
    <xf numFmtId="164" fontId="35" fillId="6" borderId="2" xfId="0" applyFont="true" applyBorder="true" applyAlignment="true" applyProtection="false">
      <alignment horizontal="left" vertical="center" textRotation="0" wrapText="false" indent="0" shrinkToFit="false"/>
      <protection locked="true" hidden="false"/>
    </xf>
    <xf numFmtId="164" fontId="44" fillId="22" borderId="2" xfId="0" applyFont="true" applyBorder="true" applyAlignment="true" applyProtection="false">
      <alignment horizontal="right" vertical="center" textRotation="0" wrapText="false" indent="0" shrinkToFit="false"/>
      <protection locked="true" hidden="false"/>
    </xf>
    <xf numFmtId="168" fontId="44" fillId="22" borderId="2" xfId="0" applyFont="true" applyBorder="true" applyAlignment="true" applyProtection="false">
      <alignment horizontal="right" vertical="center" textRotation="0" wrapText="false" indent="0" shrinkToFit="false"/>
      <protection locked="true" hidden="false"/>
    </xf>
    <xf numFmtId="164" fontId="45" fillId="23" borderId="2" xfId="0" applyFont="true" applyBorder="true" applyAlignment="true" applyProtection="false">
      <alignment horizontal="left" vertical="center" textRotation="0" wrapText="false" indent="0" shrinkToFit="false"/>
      <protection locked="true" hidden="false"/>
    </xf>
    <xf numFmtId="164" fontId="45" fillId="23" borderId="2" xfId="0" applyFont="true" applyBorder="true" applyAlignment="true" applyProtection="false">
      <alignment horizontal="right" vertical="center" textRotation="0" wrapText="false" indent="0" shrinkToFit="false"/>
      <protection locked="true" hidden="false"/>
    </xf>
    <xf numFmtId="168" fontId="45" fillId="23" borderId="2" xfId="0" applyFont="true" applyBorder="true" applyAlignment="true" applyProtection="false">
      <alignment horizontal="right" vertical="center" textRotation="0" wrapText="false" indent="0" shrinkToFit="false"/>
      <protection locked="true" hidden="false"/>
    </xf>
    <xf numFmtId="164" fontId="8" fillId="20" borderId="2" xfId="0" applyFont="true" applyBorder="true" applyAlignment="true" applyProtection="false">
      <alignment horizontal="right" vertical="center" textRotation="0" wrapText="false" indent="0" shrinkToFit="false"/>
      <protection locked="true" hidden="false"/>
    </xf>
    <xf numFmtId="168" fontId="8" fillId="20" borderId="2" xfId="0" applyFont="true" applyBorder="true" applyAlignment="true" applyProtection="false">
      <alignment horizontal="right" vertical="center" textRotation="0" wrapText="false" indent="0" shrinkToFit="false"/>
      <protection locked="true" hidden="false"/>
    </xf>
    <xf numFmtId="164" fontId="30" fillId="9" borderId="2" xfId="0" applyFont="true" applyBorder="true" applyAlignment="true" applyProtection="false">
      <alignment horizontal="left" vertical="center" textRotation="0" wrapText="false" indent="0" shrinkToFit="false"/>
      <protection locked="true" hidden="false"/>
    </xf>
    <xf numFmtId="164" fontId="46" fillId="24" borderId="2" xfId="0" applyFont="true" applyBorder="true" applyAlignment="true" applyProtection="false">
      <alignment horizontal="left" vertical="center" textRotation="0" wrapText="false" indent="0" shrinkToFit="false"/>
      <protection locked="true" hidden="false"/>
    </xf>
    <xf numFmtId="164" fontId="46" fillId="25" borderId="2" xfId="0" applyFont="true" applyBorder="true" applyAlignment="true" applyProtection="false">
      <alignment horizontal="right" vertical="center" textRotation="0" wrapText="false" indent="0" shrinkToFit="false"/>
      <protection locked="true" hidden="false"/>
    </xf>
    <xf numFmtId="168" fontId="46" fillId="25" borderId="2" xfId="0" applyFont="true" applyBorder="true" applyAlignment="true" applyProtection="false">
      <alignment horizontal="right" vertical="center" textRotation="0" wrapText="false" indent="0" shrinkToFit="false"/>
      <protection locked="true" hidden="false"/>
    </xf>
    <xf numFmtId="164" fontId="47" fillId="26" borderId="2" xfId="0" applyFont="true" applyBorder="true" applyAlignment="true" applyProtection="false">
      <alignment horizontal="left" vertical="center" textRotation="0" wrapText="false" indent="0" shrinkToFit="false"/>
      <protection locked="true" hidden="false"/>
    </xf>
    <xf numFmtId="164" fontId="47" fillId="26" borderId="2" xfId="0" applyFont="true" applyBorder="true" applyAlignment="true" applyProtection="false">
      <alignment horizontal="right" vertical="center" textRotation="0" wrapText="false" indent="0" shrinkToFit="false"/>
      <protection locked="true" hidden="false"/>
    </xf>
    <xf numFmtId="168" fontId="47" fillId="26" borderId="2" xfId="0" applyFont="true" applyBorder="true" applyAlignment="true" applyProtection="false">
      <alignment horizontal="right" vertical="center" textRotation="0" wrapText="false" indent="0" shrinkToFit="false"/>
      <protection locked="true" hidden="false"/>
    </xf>
    <xf numFmtId="164" fontId="13" fillId="9" borderId="2" xfId="0" applyFont="true" applyBorder="true" applyAlignment="true" applyProtection="false">
      <alignment horizontal="right" vertical="center" textRotation="0" wrapText="false" indent="0" shrinkToFit="false"/>
      <protection locked="true" hidden="false"/>
    </xf>
    <xf numFmtId="168" fontId="13" fillId="9" borderId="2" xfId="0" applyFont="true" applyBorder="true" applyAlignment="true" applyProtection="false">
      <alignment horizontal="right" vertical="center" textRotation="0" wrapText="false" indent="0" shrinkToFit="false"/>
      <protection locked="true" hidden="false"/>
    </xf>
    <xf numFmtId="164" fontId="30" fillId="13" borderId="2" xfId="0" applyFont="true" applyBorder="true" applyAlignment="true" applyProtection="false">
      <alignment horizontal="left" vertical="center" textRotation="0" wrapText="false" indent="0" shrinkToFit="false"/>
      <protection locked="true" hidden="false"/>
    </xf>
    <xf numFmtId="164" fontId="48" fillId="27" borderId="2" xfId="0" applyFont="true" applyBorder="true" applyAlignment="true" applyProtection="false">
      <alignment horizontal="left" vertical="center" textRotation="0" wrapText="false" indent="0" shrinkToFit="false"/>
      <protection locked="true" hidden="false"/>
    </xf>
    <xf numFmtId="164" fontId="0" fillId="27" borderId="2" xfId="0" applyFont="false" applyBorder="true" applyAlignment="true" applyProtection="false">
      <alignment horizontal="general" vertical="bottom" textRotation="0" wrapText="false" indent="0" shrinkToFit="false"/>
      <protection locked="true" hidden="false"/>
    </xf>
    <xf numFmtId="164" fontId="35" fillId="27" borderId="2" xfId="0" applyFont="true" applyBorder="true" applyAlignment="true" applyProtection="false">
      <alignment horizontal="left" vertical="center" textRotation="0" wrapText="false" indent="0" shrinkToFit="false"/>
      <protection locked="true" hidden="false"/>
    </xf>
    <xf numFmtId="168" fontId="48" fillId="27" borderId="2" xfId="0" applyFont="true" applyBorder="true" applyAlignment="true" applyProtection="false">
      <alignment horizontal="right" vertical="center" textRotation="0" wrapText="false" indent="0" shrinkToFit="false"/>
      <protection locked="true" hidden="false"/>
    </xf>
    <xf numFmtId="164" fontId="48" fillId="27" borderId="2" xfId="0" applyFont="true" applyBorder="true" applyAlignment="true" applyProtection="false">
      <alignment horizontal="right" vertical="center" textRotation="0" wrapText="false" indent="0" shrinkToFit="false"/>
      <protection locked="true" hidden="false"/>
    </xf>
    <xf numFmtId="164" fontId="8" fillId="2" borderId="2" xfId="0" applyFont="true" applyBorder="true" applyAlignment="true" applyProtection="false">
      <alignment horizontal="right" vertical="center" textRotation="0" wrapText="false" indent="0" shrinkToFit="false"/>
      <protection locked="true" hidden="false"/>
    </xf>
    <xf numFmtId="168" fontId="8" fillId="2" borderId="2" xfId="0" applyFont="true" applyBorder="true" applyAlignment="true" applyProtection="false">
      <alignment horizontal="right" vertical="center" textRotation="0" wrapText="false" indent="0" shrinkToFit="false"/>
      <protection locked="true" hidden="false"/>
    </xf>
    <xf numFmtId="164" fontId="48" fillId="8" borderId="2" xfId="0" applyFont="true" applyBorder="true" applyAlignment="true" applyProtection="false">
      <alignment horizontal="right" vertical="center" textRotation="0" wrapText="false" indent="0" shrinkToFit="false"/>
      <protection locked="true" hidden="false"/>
    </xf>
    <xf numFmtId="164" fontId="49" fillId="8" borderId="2" xfId="0" applyFont="true" applyBorder="true" applyAlignment="true" applyProtection="false">
      <alignment horizontal="center" vertical="center" textRotation="0" wrapText="false" indent="0" shrinkToFit="false"/>
      <protection locked="true" hidden="false"/>
    </xf>
    <xf numFmtId="164" fontId="24" fillId="13" borderId="0" xfId="0" applyFont="true" applyBorder="true" applyAlignment="true" applyProtection="false">
      <alignment horizontal="center" vertical="center" textRotation="0" wrapText="false" indent="0" shrinkToFit="false"/>
      <protection locked="true" hidden="false"/>
    </xf>
    <xf numFmtId="164" fontId="42" fillId="8" borderId="5" xfId="0" applyFont="true" applyBorder="true" applyAlignment="true" applyProtection="false">
      <alignment horizontal="left" vertical="center" textRotation="0" wrapText="true" indent="0" shrinkToFit="false"/>
      <protection locked="true" hidden="false"/>
    </xf>
    <xf numFmtId="164" fontId="50" fillId="5" borderId="2" xfId="0" applyFont="true" applyBorder="true" applyAlignment="true" applyProtection="false">
      <alignment horizontal="center" vertical="center" textRotation="0" wrapText="false" indent="0" shrinkToFit="false"/>
      <protection locked="true" hidden="false"/>
    </xf>
    <xf numFmtId="164" fontId="17" fillId="8" borderId="2" xfId="0" applyFont="true" applyBorder="true" applyAlignment="true" applyProtection="false">
      <alignment horizontal="left" vertical="center" textRotation="0" wrapText="false" indent="0" shrinkToFit="false"/>
      <protection locked="true" hidden="false"/>
    </xf>
    <xf numFmtId="164" fontId="0" fillId="8" borderId="2" xfId="0" applyFont="false" applyBorder="true" applyAlignment="true" applyProtection="false">
      <alignment horizontal="general" vertical="bottom" textRotation="0" wrapText="false" indent="0" shrinkToFit="false"/>
      <protection locked="true" hidden="false"/>
    </xf>
    <xf numFmtId="164" fontId="35" fillId="8" borderId="2" xfId="0" applyFont="true" applyBorder="true" applyAlignment="true" applyProtection="false">
      <alignment horizontal="left" vertical="center" textRotation="0" wrapText="false" indent="0" shrinkToFit="false"/>
      <protection locked="true" hidden="false"/>
    </xf>
    <xf numFmtId="168" fontId="17" fillId="8" borderId="2" xfId="0" applyFont="true" applyBorder="true" applyAlignment="true" applyProtection="false">
      <alignment horizontal="right" vertical="center" textRotation="0" wrapText="false" indent="0" shrinkToFit="false"/>
      <protection locked="true" hidden="false"/>
    </xf>
    <xf numFmtId="164" fontId="13" fillId="13" borderId="2" xfId="0" applyFont="true" applyBorder="true" applyAlignment="true" applyProtection="false">
      <alignment horizontal="right" vertical="center" textRotation="0" wrapText="false" indent="0" shrinkToFit="false"/>
      <protection locked="true" hidden="false"/>
    </xf>
    <xf numFmtId="168" fontId="13" fillId="13" borderId="2" xfId="0" applyFont="true" applyBorder="true" applyAlignment="true" applyProtection="false">
      <alignment horizontal="right" vertical="center" textRotation="0" wrapText="false" indent="0" shrinkToFit="false"/>
      <protection locked="true" hidden="false"/>
    </xf>
    <xf numFmtId="164" fontId="30" fillId="28" borderId="2" xfId="0" applyFont="true" applyBorder="true" applyAlignment="true" applyProtection="false">
      <alignment horizontal="left" vertical="center" textRotation="0" wrapText="false" indent="0" shrinkToFit="false"/>
      <protection locked="true" hidden="false"/>
    </xf>
    <xf numFmtId="164" fontId="17" fillId="24" borderId="2" xfId="0" applyFont="true" applyBorder="true" applyAlignment="true" applyProtection="false">
      <alignment horizontal="left" vertical="center" textRotation="0" wrapText="false" indent="0" shrinkToFit="false"/>
      <protection locked="true" hidden="false"/>
    </xf>
    <xf numFmtId="164" fontId="0" fillId="24" borderId="2" xfId="0" applyFont="false" applyBorder="true" applyAlignment="true" applyProtection="false">
      <alignment horizontal="general" vertical="bottom" textRotation="0" wrapText="false" indent="0" shrinkToFit="false"/>
      <protection locked="true" hidden="false"/>
    </xf>
    <xf numFmtId="164" fontId="35" fillId="24" borderId="2" xfId="0" applyFont="true" applyBorder="true" applyAlignment="true" applyProtection="false">
      <alignment horizontal="left" vertical="center" textRotation="0" wrapText="false" indent="0" shrinkToFit="false"/>
      <protection locked="true" hidden="false"/>
    </xf>
    <xf numFmtId="168" fontId="17" fillId="24" borderId="2" xfId="0" applyFont="true" applyBorder="true" applyAlignment="true" applyProtection="false">
      <alignment horizontal="right" vertical="center" textRotation="0" wrapText="false" indent="0" shrinkToFit="false"/>
      <protection locked="true" hidden="false"/>
    </xf>
    <xf numFmtId="164" fontId="13" fillId="28" borderId="2" xfId="0" applyFont="true" applyBorder="true" applyAlignment="true" applyProtection="false">
      <alignment horizontal="right" vertical="center" textRotation="0" wrapText="false" indent="0" shrinkToFit="false"/>
      <protection locked="true" hidden="false"/>
    </xf>
    <xf numFmtId="168" fontId="13" fillId="28" borderId="2" xfId="0" applyFont="true" applyBorder="true" applyAlignment="true" applyProtection="false">
      <alignment horizontal="right" vertical="center" textRotation="0" wrapText="false" indent="0" shrinkToFit="false"/>
      <protection locked="true" hidden="false"/>
    </xf>
    <xf numFmtId="164" fontId="30" fillId="14" borderId="2" xfId="0" applyFont="true" applyBorder="true" applyAlignment="true" applyProtection="false">
      <alignment horizontal="left" vertical="center" textRotation="0" wrapText="false" indent="0" shrinkToFit="false"/>
      <protection locked="true" hidden="false"/>
    </xf>
    <xf numFmtId="164" fontId="17" fillId="29" borderId="2" xfId="0" applyFont="true" applyBorder="true" applyAlignment="true" applyProtection="false">
      <alignment horizontal="left" vertical="center" textRotation="0" wrapText="false" indent="0" shrinkToFit="false"/>
      <protection locked="true" hidden="false"/>
    </xf>
    <xf numFmtId="164" fontId="0" fillId="29" borderId="2" xfId="0" applyFont="false" applyBorder="true" applyAlignment="true" applyProtection="false">
      <alignment horizontal="general" vertical="bottom" textRotation="0" wrapText="false" indent="0" shrinkToFit="false"/>
      <protection locked="true" hidden="false"/>
    </xf>
    <xf numFmtId="164" fontId="35" fillId="29" borderId="2" xfId="0" applyFont="true" applyBorder="true" applyAlignment="true" applyProtection="false">
      <alignment horizontal="left" vertical="center" textRotation="0" wrapText="false" indent="0" shrinkToFit="false"/>
      <protection locked="true" hidden="false"/>
    </xf>
    <xf numFmtId="168" fontId="17" fillId="29" borderId="2" xfId="0" applyFont="true" applyBorder="true" applyAlignment="true" applyProtection="false">
      <alignment horizontal="right" vertical="center" textRotation="0" wrapText="false" indent="0" shrinkToFit="false"/>
      <protection locked="true" hidden="false"/>
    </xf>
    <xf numFmtId="164" fontId="13" fillId="14" borderId="2" xfId="0" applyFont="true" applyBorder="true" applyAlignment="true" applyProtection="false">
      <alignment horizontal="right" vertical="center" textRotation="0" wrapText="false" indent="0" shrinkToFit="false"/>
      <protection locked="true" hidden="false"/>
    </xf>
    <xf numFmtId="168" fontId="13" fillId="14" borderId="2" xfId="0" applyFont="true" applyBorder="true" applyAlignment="true" applyProtection="false">
      <alignment horizontal="right" vertical="center" textRotation="0" wrapText="false" indent="0" shrinkToFit="false"/>
      <protection locked="true" hidden="false"/>
    </xf>
    <xf numFmtId="164" fontId="8" fillId="30" borderId="2" xfId="0" applyFont="true" applyBorder="true" applyAlignment="true" applyProtection="false">
      <alignment horizontal="right" vertical="center" textRotation="0" wrapText="false" indent="0" shrinkToFit="false"/>
      <protection locked="true" hidden="false"/>
    </xf>
    <xf numFmtId="168" fontId="8" fillId="30" borderId="2" xfId="0" applyFont="true" applyBorder="true" applyAlignment="true" applyProtection="false">
      <alignment horizontal="right" vertical="center" textRotation="0" wrapText="false" indent="0" shrinkToFit="false"/>
      <protection locked="true" hidden="false"/>
    </xf>
    <xf numFmtId="164" fontId="30" fillId="31" borderId="2" xfId="0" applyFont="true" applyBorder="true" applyAlignment="true" applyProtection="false">
      <alignment horizontal="left" vertical="center" textRotation="0" wrapText="false" indent="0" shrinkToFit="false"/>
      <protection locked="true" hidden="false"/>
    </xf>
    <xf numFmtId="164" fontId="17" fillId="32" borderId="2" xfId="0" applyFont="true" applyBorder="true" applyAlignment="true" applyProtection="false">
      <alignment horizontal="left" vertical="center" textRotation="0" wrapText="false" indent="0" shrinkToFit="false"/>
      <protection locked="true" hidden="false"/>
    </xf>
    <xf numFmtId="164" fontId="0" fillId="32" borderId="2" xfId="0" applyFont="false" applyBorder="true" applyAlignment="true" applyProtection="false">
      <alignment horizontal="general" vertical="bottom" textRotation="0" wrapText="false" indent="0" shrinkToFit="false"/>
      <protection locked="true" hidden="false"/>
    </xf>
    <xf numFmtId="164" fontId="35" fillId="32" borderId="2" xfId="0" applyFont="true" applyBorder="true" applyAlignment="true" applyProtection="false">
      <alignment horizontal="left" vertical="center" textRotation="0" wrapText="false" indent="0" shrinkToFit="false"/>
      <protection locked="true" hidden="false"/>
    </xf>
    <xf numFmtId="168" fontId="17" fillId="32" borderId="2" xfId="0" applyFont="true" applyBorder="true" applyAlignment="true" applyProtection="false">
      <alignment horizontal="right" vertical="center" textRotation="0" wrapText="false" indent="0" shrinkToFit="false"/>
      <protection locked="true" hidden="false"/>
    </xf>
    <xf numFmtId="164" fontId="13" fillId="31" borderId="2" xfId="0" applyFont="true" applyBorder="true" applyAlignment="true" applyProtection="false">
      <alignment horizontal="right" vertical="center" textRotation="0" wrapText="false" indent="0" shrinkToFit="false"/>
      <protection locked="true" hidden="false"/>
    </xf>
    <xf numFmtId="168" fontId="13" fillId="31" borderId="2" xfId="0" applyFont="true" applyBorder="true" applyAlignment="true" applyProtection="false">
      <alignment horizontal="right" vertical="center" textRotation="0" wrapText="false" indent="0" shrinkToFit="false"/>
      <protection locked="true" hidden="false"/>
    </xf>
    <xf numFmtId="164" fontId="30" fillId="18" borderId="2" xfId="0" applyFont="true" applyBorder="true" applyAlignment="true" applyProtection="false">
      <alignment horizontal="left" vertical="center" textRotation="0" wrapText="false" indent="0" shrinkToFit="false"/>
      <protection locked="true" hidden="false"/>
    </xf>
    <xf numFmtId="164" fontId="17" fillId="33" borderId="2" xfId="0" applyFont="true" applyBorder="true" applyAlignment="true" applyProtection="false">
      <alignment horizontal="left" vertical="center" textRotation="0" wrapText="false" indent="0" shrinkToFit="false"/>
      <protection locked="true" hidden="false"/>
    </xf>
    <xf numFmtId="164" fontId="0" fillId="33" borderId="2" xfId="0" applyFont="false" applyBorder="true" applyAlignment="true" applyProtection="false">
      <alignment horizontal="general" vertical="bottom" textRotation="0" wrapText="false" indent="0" shrinkToFit="false"/>
      <protection locked="true" hidden="false"/>
    </xf>
    <xf numFmtId="164" fontId="35" fillId="33" borderId="2" xfId="0" applyFont="true" applyBorder="true" applyAlignment="true" applyProtection="false">
      <alignment horizontal="left" vertical="center" textRotation="0" wrapText="false" indent="0" shrinkToFit="false"/>
      <protection locked="true" hidden="false"/>
    </xf>
    <xf numFmtId="168" fontId="17" fillId="33" borderId="2" xfId="0" applyFont="true" applyBorder="true" applyAlignment="true" applyProtection="false">
      <alignment horizontal="right" vertical="center" textRotation="0" wrapText="false" indent="0" shrinkToFit="false"/>
      <protection locked="true" hidden="false"/>
    </xf>
    <xf numFmtId="164" fontId="13" fillId="18" borderId="2" xfId="0" applyFont="true" applyBorder="true" applyAlignment="true" applyProtection="false">
      <alignment horizontal="right" vertical="center" textRotation="0" wrapText="false" indent="0" shrinkToFit="false"/>
      <protection locked="true" hidden="false"/>
    </xf>
    <xf numFmtId="168" fontId="13" fillId="18" borderId="2" xfId="0" applyFont="true" applyBorder="true" applyAlignment="true" applyProtection="false">
      <alignment horizontal="right" vertical="center" textRotation="0" wrapText="false" indent="0" shrinkToFit="false"/>
      <protection locked="true" hidden="false"/>
    </xf>
    <xf numFmtId="164" fontId="8" fillId="34" borderId="2" xfId="0" applyFont="true" applyBorder="true" applyAlignment="true" applyProtection="false">
      <alignment horizontal="right" vertical="center" textRotation="0" wrapText="false" indent="0" shrinkToFit="false"/>
      <protection locked="true" hidden="false"/>
    </xf>
    <xf numFmtId="168" fontId="8" fillId="34" borderId="2" xfId="0" applyFont="true" applyBorder="true" applyAlignment="true" applyProtection="false">
      <alignment horizontal="right" vertical="center" textRotation="0" wrapText="false" indent="0" shrinkToFit="false"/>
      <protection locked="true" hidden="false"/>
    </xf>
    <xf numFmtId="164" fontId="30" fillId="35" borderId="2" xfId="0" applyFont="true" applyBorder="true" applyAlignment="true" applyProtection="false">
      <alignment horizontal="left" vertical="center" textRotation="0" wrapText="false" indent="0" shrinkToFit="false"/>
      <protection locked="true" hidden="false"/>
    </xf>
    <xf numFmtId="164" fontId="13" fillId="35" borderId="2" xfId="0" applyFont="true" applyBorder="true" applyAlignment="true" applyProtection="false">
      <alignment horizontal="right" vertical="center" textRotation="0" wrapText="false" indent="0" shrinkToFit="false"/>
      <protection locked="true" hidden="false"/>
    </xf>
    <xf numFmtId="168" fontId="13" fillId="35" borderId="2" xfId="0" applyFont="true" applyBorder="true" applyAlignment="true" applyProtection="false">
      <alignment horizontal="right" vertical="center" textRotation="0" wrapText="false" indent="0" shrinkToFit="false"/>
      <protection locked="true" hidden="false"/>
    </xf>
    <xf numFmtId="164" fontId="24" fillId="13" borderId="2" xfId="0" applyFont="true" applyBorder="true" applyAlignment="true" applyProtection="false">
      <alignment horizontal="right" vertical="center" textRotation="0" wrapText="false" indent="0" shrinkToFit="false"/>
      <protection locked="true" hidden="false"/>
    </xf>
    <xf numFmtId="168" fontId="24" fillId="13" borderId="2" xfId="0" applyFont="true" applyBorder="true" applyAlignment="true" applyProtection="false">
      <alignment horizontal="right" vertical="center" textRotation="0" wrapText="false" indent="0" shrinkToFit="false"/>
      <protection locked="true" hidden="false"/>
    </xf>
    <xf numFmtId="164" fontId="30" fillId="2" borderId="2" xfId="0" applyFont="true" applyBorder="true" applyAlignment="true" applyProtection="false">
      <alignment horizontal="left" vertical="center" textRotation="0" wrapText="false" indent="0" shrinkToFit="false"/>
      <protection locked="true" hidden="false"/>
    </xf>
    <xf numFmtId="164" fontId="37" fillId="5" borderId="2" xfId="0" applyFont="true" applyBorder="true" applyAlignment="true" applyProtection="false">
      <alignment horizontal="left" vertical="center" textRotation="0" wrapText="false" indent="0" shrinkToFit="false"/>
      <protection locked="true" hidden="false"/>
    </xf>
    <xf numFmtId="164" fontId="35" fillId="5" borderId="2" xfId="0" applyFont="true" applyBorder="true" applyAlignment="true" applyProtection="false">
      <alignment horizontal="left" vertical="center" textRotation="0" wrapText="false" indent="0" shrinkToFit="false"/>
      <protection locked="true" hidden="false"/>
    </xf>
    <xf numFmtId="169" fontId="28" fillId="5" borderId="2" xfId="0" applyFont="true" applyBorder="true" applyAlignment="true" applyProtection="false">
      <alignment horizontal="right" vertical="center" textRotation="0" wrapText="false" indent="0" shrinkToFit="false"/>
      <protection locked="true" hidden="false"/>
    </xf>
    <xf numFmtId="168" fontId="28" fillId="5" borderId="2" xfId="0" applyFont="true" applyBorder="true" applyAlignment="true" applyProtection="false">
      <alignment horizontal="right" vertical="center" textRotation="0" wrapText="false" indent="0" shrinkToFit="false"/>
      <protection locked="true" hidden="false"/>
    </xf>
    <xf numFmtId="164" fontId="30" fillId="7" borderId="2" xfId="0" applyFont="true" applyBorder="true" applyAlignment="true" applyProtection="false">
      <alignment horizontal="left" vertical="center" textRotation="0" wrapText="false" indent="0" shrinkToFit="false"/>
      <protection locked="true" hidden="false"/>
    </xf>
    <xf numFmtId="164" fontId="42" fillId="5" borderId="6" xfId="0" applyFont="true" applyBorder="true" applyAlignment="true" applyProtection="false">
      <alignment horizontal="left" vertical="center" textRotation="0" wrapText="true" indent="0" shrinkToFit="false"/>
      <protection locked="true" hidden="false"/>
    </xf>
    <xf numFmtId="164" fontId="51" fillId="6" borderId="2" xfId="0" applyFont="true" applyBorder="true" applyAlignment="true" applyProtection="false">
      <alignment horizontal="left" vertical="center" textRotation="0" wrapText="false" indent="1" shrinkToFit="false"/>
      <protection locked="true" hidden="false"/>
    </xf>
    <xf numFmtId="170" fontId="39" fillId="11" borderId="2" xfId="0" applyFont="true" applyBorder="true" applyAlignment="true" applyProtection="false">
      <alignment horizontal="center" vertical="center" textRotation="0" wrapText="false" indent="0" shrinkToFit="false"/>
      <protection locked="true" hidden="false"/>
    </xf>
    <xf numFmtId="164" fontId="52" fillId="6" borderId="2" xfId="0" applyFont="true" applyBorder="true" applyAlignment="true" applyProtection="false">
      <alignment horizontal="center" vertical="center" textRotation="0" wrapText="false" indent="0" shrinkToFit="false"/>
      <protection locked="true" hidden="false"/>
    </xf>
    <xf numFmtId="164" fontId="41" fillId="6" borderId="2" xfId="0" applyFont="true" applyBorder="true" applyAlignment="true" applyProtection="false">
      <alignment horizontal="left" vertical="center" textRotation="0" wrapText="true" indent="0" shrinkToFit="false"/>
      <protection locked="true" hidden="false"/>
    </xf>
    <xf numFmtId="164" fontId="53" fillId="6" borderId="2" xfId="0" applyFont="true" applyBorder="true" applyAlignment="true" applyProtection="false">
      <alignment horizontal="left" vertical="center" textRotation="0" wrapText="true" indent="0" shrinkToFit="false"/>
      <protection locked="true" hidden="false"/>
    </xf>
    <xf numFmtId="164" fontId="54" fillId="8" borderId="2" xfId="0" applyFont="true" applyBorder="true" applyAlignment="true" applyProtection="false">
      <alignment horizontal="center" vertical="center" textRotation="0" wrapText="false" indent="0" shrinkToFit="false"/>
      <protection locked="true" hidden="false"/>
    </xf>
    <xf numFmtId="164" fontId="55" fillId="29" borderId="2" xfId="0" applyFont="true" applyBorder="true" applyAlignment="true" applyProtection="false">
      <alignment horizontal="center" vertical="center" textRotation="0" wrapText="false" indent="0" shrinkToFit="false"/>
      <protection locked="true" hidden="false"/>
    </xf>
    <xf numFmtId="164" fontId="30" fillId="36" borderId="2" xfId="0" applyFont="true" applyBorder="true" applyAlignment="true" applyProtection="false">
      <alignment horizontal="left" vertical="center" textRotation="0" wrapText="false" indent="0" shrinkToFit="false"/>
      <protection locked="true" hidden="false"/>
    </xf>
    <xf numFmtId="164" fontId="42" fillId="37" borderId="7" xfId="0" applyFont="true" applyBorder="true" applyAlignment="true" applyProtection="false">
      <alignment horizontal="left" vertical="center" textRotation="0" wrapText="true" indent="0" shrinkToFit="false"/>
      <protection locked="true" hidden="false"/>
    </xf>
    <xf numFmtId="171" fontId="39" fillId="11" borderId="2" xfId="0" applyFont="true" applyBorder="true" applyAlignment="true" applyProtection="false">
      <alignment horizontal="center" vertical="center" textRotation="0" wrapText="false" indent="0" shrinkToFit="false"/>
      <protection locked="true" hidden="false"/>
    </xf>
    <xf numFmtId="164" fontId="30" fillId="16" borderId="2" xfId="0" applyFont="true" applyBorder="true" applyAlignment="true" applyProtection="false">
      <alignment horizontal="left" vertical="center" textRotation="0" wrapText="false" indent="0" shrinkToFit="false"/>
      <protection locked="true" hidden="false"/>
    </xf>
    <xf numFmtId="164" fontId="42" fillId="17" borderId="8" xfId="0" applyFont="true" applyBorder="true" applyAlignment="true" applyProtection="false">
      <alignment horizontal="left" vertical="center" textRotation="0" wrapText="true" indent="0" shrinkToFit="false"/>
      <protection locked="true" hidden="false"/>
    </xf>
    <xf numFmtId="172" fontId="39" fillId="11" borderId="2" xfId="0" applyFont="true" applyBorder="true" applyAlignment="true" applyProtection="false">
      <alignment horizontal="center" vertical="center" textRotation="0" wrapText="false" indent="0" shrinkToFit="false"/>
      <protection locked="true" hidden="false"/>
    </xf>
    <xf numFmtId="164" fontId="56" fillId="2" borderId="0" xfId="0" applyFont="true" applyBorder="true" applyAlignment="true" applyProtection="false">
      <alignment horizontal="center" vertical="center" textRotation="0" wrapText="false" indent="0" shrinkToFit="false"/>
      <protection locked="true" hidden="false"/>
    </xf>
    <xf numFmtId="164" fontId="15" fillId="3" borderId="0" xfId="0" applyFont="true" applyBorder="true" applyAlignment="true" applyProtection="false">
      <alignment horizontal="center" vertical="center" textRotation="0" wrapText="false" indent="0" shrinkToFit="false"/>
      <protection locked="true" hidden="false"/>
    </xf>
    <xf numFmtId="164" fontId="30" fillId="7" borderId="0"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false" applyAlignment="true" applyProtection="false">
      <alignment horizontal="left" vertical="center" textRotation="0" wrapText="false" indent="0" shrinkToFit="false"/>
      <protection locked="true" hidden="false"/>
    </xf>
    <xf numFmtId="164" fontId="57" fillId="0" borderId="0" xfId="0" applyFont="true" applyBorder="tru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16" fillId="11" borderId="2" xfId="0" applyFont="true" applyBorder="true" applyAlignment="true" applyProtection="false">
      <alignment horizontal="center" vertical="center" textRotation="0" wrapText="false" indent="0" shrinkToFit="false"/>
      <protection locked="true" hidden="false"/>
    </xf>
    <xf numFmtId="165" fontId="16" fillId="11" borderId="2" xfId="0" applyFont="true" applyBorder="true" applyAlignment="true" applyProtection="false">
      <alignment horizontal="center" vertical="center" textRotation="0" wrapText="false" indent="0" shrinkToFit="false"/>
      <protection locked="true" hidden="false"/>
    </xf>
    <xf numFmtId="165" fontId="38" fillId="5" borderId="2" xfId="0" applyFont="true" applyBorder="true" applyAlignment="true" applyProtection="false">
      <alignment horizontal="center" vertical="center" textRotation="0" wrapText="false" indent="0" shrinkToFit="false"/>
      <protection locked="true" hidden="false"/>
    </xf>
    <xf numFmtId="164" fontId="30" fillId="7" borderId="0" xfId="0" applyFont="true" applyBorder="false" applyAlignment="true" applyProtection="false">
      <alignment horizontal="center" vertical="center" textRotation="0" wrapText="false" indent="0" shrinkToFit="false"/>
      <protection locked="true" hidden="false"/>
    </xf>
    <xf numFmtId="164" fontId="30" fillId="7" borderId="0" xfId="0" applyFont="true" applyBorder="true" applyAlignment="true" applyProtection="false">
      <alignment horizontal="left" vertical="center" textRotation="0" wrapText="true" indent="0" shrinkToFit="false"/>
      <protection locked="true" hidden="false"/>
    </xf>
    <xf numFmtId="164" fontId="37" fillId="6" borderId="0" xfId="0" applyFont="true" applyBorder="false" applyAlignment="true" applyProtection="false">
      <alignment horizontal="general" vertical="bottom" textRotation="0" wrapText="false" indent="0" shrinkToFit="false"/>
      <protection locked="true" hidden="false"/>
    </xf>
    <xf numFmtId="168" fontId="37" fillId="6" borderId="0" xfId="0" applyFont="true" applyBorder="false" applyAlignment="true" applyProtection="false">
      <alignment horizontal="right" vertical="center" textRotation="0" wrapText="false" indent="0" shrinkToFit="false"/>
      <protection locked="true" hidden="false"/>
    </xf>
    <xf numFmtId="168" fontId="58" fillId="6" borderId="0" xfId="0" applyFont="true" applyBorder="false" applyAlignment="true" applyProtection="false">
      <alignment horizontal="right" vertical="center" textRotation="0" wrapText="false" indent="0" shrinkToFit="false"/>
      <protection locked="true" hidden="false"/>
    </xf>
    <xf numFmtId="168" fontId="0" fillId="6" borderId="0" xfId="0" applyFont="false" applyBorder="false" applyAlignment="true" applyProtection="false">
      <alignment horizontal="right" vertical="center" textRotation="0" wrapText="false" indent="0" shrinkToFit="false"/>
      <protection locked="true" hidden="false"/>
    </xf>
    <xf numFmtId="173" fontId="0" fillId="6" borderId="0" xfId="0" applyFont="false" applyBorder="false" applyAlignment="true" applyProtection="false">
      <alignment horizontal="right" vertical="center" textRotation="0" wrapText="false" indent="0" shrinkToFit="false"/>
      <protection locked="true" hidden="false"/>
    </xf>
    <xf numFmtId="164" fontId="57" fillId="6" borderId="0" xfId="0" applyFont="true" applyBorder="false" applyAlignment="tru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left" vertical="center" textRotation="0" wrapText="true" indent="0" shrinkToFit="false"/>
      <protection locked="true" hidden="false"/>
    </xf>
    <xf numFmtId="164" fontId="0" fillId="38" borderId="0" xfId="0" applyFont="fals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left" vertical="center" textRotation="0" wrapText="false" indent="2" shrinkToFit="false"/>
      <protection locked="true" hidden="false"/>
    </xf>
    <xf numFmtId="168" fontId="59" fillId="6" borderId="0" xfId="0" applyFont="true" applyBorder="false" applyAlignment="true" applyProtection="false">
      <alignment horizontal="right" vertical="center" textRotation="0" wrapText="false" indent="0" shrinkToFit="false"/>
      <protection locked="true" hidden="false"/>
    </xf>
    <xf numFmtId="168" fontId="60" fillId="6" borderId="0" xfId="0" applyFont="true" applyBorder="false" applyAlignment="true" applyProtection="false">
      <alignment horizontal="right" vertical="center" textRotation="0" wrapText="false" indent="0" shrinkToFit="false"/>
      <protection locked="true" hidden="false"/>
    </xf>
    <xf numFmtId="173" fontId="59" fillId="6" borderId="0" xfId="0" applyFont="true" applyBorder="false" applyAlignment="true" applyProtection="false">
      <alignment horizontal="right" vertical="center" textRotation="0" wrapText="false" indent="0" shrinkToFit="false"/>
      <protection locked="true" hidden="false"/>
    </xf>
    <xf numFmtId="164" fontId="57" fillId="6" borderId="0" xfId="0" applyFont="true" applyBorder="false" applyAlignment="true" applyProtection="false">
      <alignment horizontal="left" vertical="center" textRotation="0" wrapText="true" indent="0" shrinkToFit="false"/>
      <protection locked="true" hidden="false"/>
    </xf>
    <xf numFmtId="164" fontId="17" fillId="38" borderId="0" xfId="0" applyFont="true" applyBorder="false" applyAlignment="true" applyProtection="false">
      <alignment horizontal="left" vertical="center" textRotation="0" wrapText="false" indent="2" shrinkToFit="false"/>
      <protection locked="true" hidden="false"/>
    </xf>
    <xf numFmtId="168" fontId="59" fillId="38" borderId="0" xfId="0" applyFont="true" applyBorder="false" applyAlignment="true" applyProtection="false">
      <alignment horizontal="right" vertical="center" textRotation="0" wrapText="false" indent="0" shrinkToFit="false"/>
      <protection locked="true" hidden="false"/>
    </xf>
    <xf numFmtId="168" fontId="60" fillId="38" borderId="0" xfId="0" applyFont="true" applyBorder="false" applyAlignment="true" applyProtection="false">
      <alignment horizontal="right" vertical="center" textRotation="0" wrapText="false" indent="0" shrinkToFit="false"/>
      <protection locked="true" hidden="false"/>
    </xf>
    <xf numFmtId="173" fontId="59" fillId="38" borderId="0" xfId="0" applyFont="true" applyBorder="false" applyAlignment="true" applyProtection="false">
      <alignment horizontal="right" vertical="center" textRotation="0" wrapText="false" indent="0" shrinkToFit="false"/>
      <protection locked="true" hidden="false"/>
    </xf>
    <xf numFmtId="164" fontId="57" fillId="38" borderId="0" xfId="0" applyFont="true" applyBorder="false" applyAlignment="true" applyProtection="false">
      <alignment horizontal="left" vertical="center" textRotation="0" wrapText="true" indent="0" shrinkToFit="false"/>
      <protection locked="true" hidden="false"/>
    </xf>
    <xf numFmtId="164" fontId="13" fillId="7" borderId="0" xfId="0" applyFont="true" applyBorder="false" applyAlignment="true" applyProtection="false">
      <alignment horizontal="left" vertical="center" textRotation="0" wrapText="false" indent="0" shrinkToFit="false"/>
      <protection locked="true" hidden="false"/>
    </xf>
    <xf numFmtId="168" fontId="13" fillId="7" borderId="0" xfId="0" applyFont="true" applyBorder="false" applyAlignment="true" applyProtection="false">
      <alignment horizontal="right" vertical="center" textRotation="0" wrapText="false" indent="0" shrinkToFit="false"/>
      <protection locked="true" hidden="false"/>
    </xf>
    <xf numFmtId="173" fontId="13" fillId="7"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2" shrinkToFit="false"/>
      <protection locked="true" hidden="false"/>
    </xf>
    <xf numFmtId="168" fontId="59" fillId="0" borderId="0" xfId="0" applyFont="true" applyBorder="false" applyAlignment="true" applyProtection="false">
      <alignment horizontal="right" vertical="center" textRotation="0" wrapText="false" indent="0" shrinkToFit="false"/>
      <protection locked="true" hidden="false"/>
    </xf>
    <xf numFmtId="168" fontId="60" fillId="0" borderId="0" xfId="0" applyFont="true" applyBorder="false" applyAlignment="true" applyProtection="false">
      <alignment horizontal="right" vertical="center" textRotation="0" wrapText="false" indent="0" shrinkToFit="false"/>
      <protection locked="true" hidden="false"/>
    </xf>
    <xf numFmtId="173" fontId="59" fillId="0" borderId="0" xfId="0" applyFont="true" applyBorder="false" applyAlignment="true" applyProtection="false">
      <alignment horizontal="right" vertical="center" textRotation="0" wrapText="false" indent="0" shrinkToFit="false"/>
      <protection locked="true" hidden="false"/>
    </xf>
    <xf numFmtId="164" fontId="57" fillId="0"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8" fontId="8" fillId="2" borderId="0" xfId="0" applyFont="true" applyBorder="false" applyAlignment="true" applyProtection="false">
      <alignment horizontal="right" vertical="center" textRotation="0" wrapText="false" indent="0" shrinkToFit="false"/>
      <protection locked="true" hidden="false"/>
    </xf>
    <xf numFmtId="173" fontId="8" fillId="2"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8" fontId="13" fillId="2" borderId="0" xfId="0" applyFont="true" applyBorder="false" applyAlignment="true" applyProtection="false">
      <alignment horizontal="right" vertical="center" textRotation="0" wrapText="false" indent="0" shrinkToFit="false"/>
      <protection locked="true" hidden="false"/>
    </xf>
    <xf numFmtId="164" fontId="30" fillId="2" borderId="0" xfId="0" applyFont="true" applyBorder="true" applyAlignment="true" applyProtection="false">
      <alignment horizontal="left" vertical="center" textRotation="0" wrapText="true" indent="0" shrinkToFit="false"/>
      <protection locked="true" hidden="false"/>
    </xf>
    <xf numFmtId="164" fontId="26" fillId="7" borderId="0" xfId="0" applyFont="true" applyBorder="false" applyAlignment="true" applyProtection="false">
      <alignment horizontal="center" vertical="center"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72" fontId="38" fillId="0" borderId="0" xfId="0" applyFont="true" applyBorder="false" applyAlignment="true" applyProtection="false">
      <alignment horizontal="center" vertical="center" textRotation="0" wrapText="false" indent="0" shrinkToFit="false"/>
      <protection locked="true" hidden="false"/>
    </xf>
    <xf numFmtId="164" fontId="61" fillId="0"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62" fillId="0" borderId="0" xfId="0" applyFont="true" applyBorder="false" applyAlignment="true" applyProtection="false">
      <alignment horizontal="left" vertical="center" textRotation="0" wrapText="true" indent="0" shrinkToFit="false"/>
      <protection locked="true" hidden="false"/>
    </xf>
    <xf numFmtId="164" fontId="63" fillId="0" borderId="0" xfId="0" applyFont="true" applyBorder="false" applyAlignment="true" applyProtection="false">
      <alignment horizontal="center" vertical="center" textRotation="0" wrapText="false" indent="0" shrinkToFit="false"/>
      <protection locked="true" hidden="false"/>
    </xf>
    <xf numFmtId="164" fontId="64" fillId="0" borderId="0" xfId="0" applyFont="true" applyBorder="false" applyAlignment="true" applyProtection="false">
      <alignment horizontal="center" vertical="center" textRotation="0" wrapText="false" indent="0" shrinkToFit="false"/>
      <protection locked="true" hidden="false"/>
    </xf>
    <xf numFmtId="166" fontId="38" fillId="0" borderId="0" xfId="0" applyFont="true" applyBorder="false" applyAlignment="true" applyProtection="false">
      <alignment horizontal="center" vertical="center" textRotation="0" wrapText="false" indent="0" shrinkToFit="false"/>
      <protection locked="true" hidden="false"/>
    </xf>
    <xf numFmtId="165" fontId="38" fillId="0" borderId="0" xfId="0" applyFont="true" applyBorder="false" applyAlignment="true" applyProtection="false">
      <alignment horizontal="center" vertical="center" textRotation="0" wrapText="false" indent="0" shrinkToFit="false"/>
      <protection locked="true" hidden="false"/>
    </xf>
    <xf numFmtId="170" fontId="38" fillId="0" borderId="0" xfId="0" applyFont="true" applyBorder="false" applyAlignment="true" applyProtection="false">
      <alignment horizontal="center" vertical="center" textRotation="0" wrapText="false" indent="0" shrinkToFit="false"/>
      <protection locked="true" hidden="false"/>
    </xf>
    <xf numFmtId="174" fontId="38" fillId="0" borderId="0" xfId="0" applyFont="true" applyBorder="false" applyAlignment="true" applyProtection="false">
      <alignment horizontal="center" vertical="center" textRotation="0" wrapText="false" indent="0" shrinkToFit="false"/>
      <protection locked="true" hidden="false"/>
    </xf>
    <xf numFmtId="171" fontId="38" fillId="0" borderId="0" xfId="0" applyFont="true" applyBorder="false" applyAlignment="true" applyProtection="false">
      <alignment horizontal="center" vertical="center" textRotation="0" wrapText="false" indent="0" shrinkToFit="false"/>
      <protection locked="true" hidden="false"/>
    </xf>
    <xf numFmtId="164" fontId="26" fillId="7" borderId="0" xfId="0" applyFont="true" applyBorder="false" applyAlignment="true" applyProtection="false">
      <alignment horizontal="left" vertical="center" textRotation="0" wrapText="false" indent="0" shrinkToFit="false"/>
      <protection locked="true" hidden="false"/>
    </xf>
    <xf numFmtId="164" fontId="65" fillId="0" borderId="0" xfId="0" applyFont="true" applyBorder="false" applyAlignment="true" applyProtection="false">
      <alignment horizontal="general" vertical="bottom" textRotation="0" wrapText="false" indent="0" shrinkToFit="false"/>
      <protection locked="true" hidden="false"/>
    </xf>
    <xf numFmtId="166" fontId="66" fillId="0" borderId="0" xfId="0" applyFont="true" applyBorder="false" applyAlignment="true" applyProtection="false">
      <alignment horizontal="right" vertical="center" textRotation="0" wrapText="false" indent="0" shrinkToFit="false"/>
      <protection locked="true" hidden="false"/>
    </xf>
    <xf numFmtId="166" fontId="65" fillId="0" borderId="0" xfId="0" applyFont="true" applyBorder="false" applyAlignment="true" applyProtection="false">
      <alignment horizontal="right" vertical="center" textRotation="0" wrapText="false" indent="0" shrinkToFit="false"/>
      <protection locked="true" hidden="false"/>
    </xf>
    <xf numFmtId="166" fontId="67" fillId="0" borderId="0" xfId="0" applyFont="true" applyBorder="false" applyAlignment="true" applyProtection="false">
      <alignment horizontal="right" vertical="center" textRotation="0" wrapText="false" indent="0" shrinkToFit="false"/>
      <protection locked="true" hidden="false"/>
    </xf>
    <xf numFmtId="175" fontId="26" fillId="7" borderId="0" xfId="0" applyFont="true" applyBorder="false" applyAlignment="true" applyProtection="false">
      <alignment horizontal="right" vertical="center" textRotation="0" wrapText="false" indent="0" shrinkToFit="false"/>
      <protection locked="true" hidden="false"/>
    </xf>
    <xf numFmtId="164" fontId="15" fillId="3" borderId="0" xfId="0" applyFont="true" applyBorder="true" applyAlignment="true" applyProtection="false">
      <alignment horizontal="left" vertical="center" textRotation="0" wrapText="true" indent="0" shrinkToFit="false"/>
      <protection locked="true" hidden="false"/>
    </xf>
    <xf numFmtId="164" fontId="56" fillId="2" borderId="2" xfId="0" applyFont="true" applyBorder="true" applyAlignment="true" applyProtection="false">
      <alignment horizontal="center" vertical="center" textRotation="0" wrapText="false" indent="0" shrinkToFit="false"/>
      <protection locked="true" hidden="false"/>
    </xf>
    <xf numFmtId="164" fontId="23" fillId="10" borderId="2" xfId="0" applyFont="true" applyBorder="true" applyAlignment="true" applyProtection="false">
      <alignment horizontal="center" vertical="center" textRotation="0" wrapText="false" indent="0" shrinkToFit="false"/>
      <protection locked="true" hidden="false"/>
    </xf>
    <xf numFmtId="164" fontId="68" fillId="10" borderId="2" xfId="0" applyFont="true" applyBorder="true" applyAlignment="true" applyProtection="false">
      <alignment horizontal="center" vertical="center" textRotation="0" wrapText="false" indent="0" shrinkToFit="false"/>
      <protection locked="true" hidden="false"/>
    </xf>
    <xf numFmtId="164" fontId="26" fillId="7" borderId="2" xfId="0" applyFont="true" applyBorder="true" applyAlignment="true" applyProtection="false">
      <alignment horizontal="center" vertical="center" textRotation="0" wrapText="true" indent="0" shrinkToFit="false"/>
      <protection locked="true" hidden="false"/>
    </xf>
    <xf numFmtId="164" fontId="27" fillId="5" borderId="2" xfId="0" applyFont="true" applyBorder="true" applyAlignment="true" applyProtection="false">
      <alignment horizontal="left" vertical="center" textRotation="0" wrapText="true" indent="0" shrinkToFit="false"/>
      <protection locked="true" hidden="false"/>
    </xf>
    <xf numFmtId="164" fontId="27" fillId="8" borderId="2" xfId="0" applyFont="true" applyBorder="true" applyAlignment="true" applyProtection="false">
      <alignment horizontal="left"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29" fillId="0" borderId="2" xfId="0" applyFont="true" applyBorder="true" applyAlignment="true" applyProtection="false">
      <alignment horizontal="left" vertical="center" textRotation="0" wrapText="false" indent="0" shrinkToFit="false"/>
      <protection locked="true" hidden="false"/>
    </xf>
    <xf numFmtId="164" fontId="28" fillId="0" borderId="2" xfId="0" applyFont="true" applyBorder="true" applyAlignment="true" applyProtection="false">
      <alignment horizontal="left" vertical="center" textRotation="0" wrapText="false" indent="0" shrinkToFit="false"/>
      <protection locked="true" hidden="false"/>
    </xf>
    <xf numFmtId="164" fontId="11" fillId="11" borderId="2"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2E5A9B"/>
          <bgColor rgb="FF000000"/>
        </patternFill>
      </fill>
    </dxf>
    <dxf>
      <fill>
        <patternFill patternType="solid">
          <fgColor rgb="FFD6E4F7"/>
          <bgColor rgb="FF000000"/>
        </patternFill>
      </fill>
    </dxf>
    <dxf>
      <fill>
        <patternFill patternType="solid">
          <fgColor rgb="FFE8F5E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E53935"/>
      <rgbColor rgb="FFEDE7F6"/>
      <rgbColor rgb="FF0000FF"/>
      <rgbColor rgb="FFFFFDE7"/>
      <rgbColor rgb="FFFFEBEE"/>
      <rgbColor rgb="FFE8F5E9"/>
      <rgbColor rgb="FF444444"/>
      <rgbColor rgb="FF1B5E20"/>
      <rgbColor rgb="FF0D47A1"/>
      <rgbColor rgb="FF777777"/>
      <rgbColor rgb="FF880E4F"/>
      <rgbColor rgb="FF00897B"/>
      <rgbColor rgb="FFBDBDBD"/>
      <rgbColor rgb="FF888888"/>
      <rgbColor rgb="FF78909C"/>
      <rgbColor rgb="FFC62828"/>
      <rgbColor rgb="FFFFF8E1"/>
      <rgbColor rgb="FFE0F2F1"/>
      <rgbColor rgb="FF4D148E"/>
      <rgbColor rgb="FFF3E5F5"/>
      <rgbColor rgb="FF1565C0"/>
      <rgbColor rgb="FFBBDEFB"/>
      <rgbColor rgb="FF034D9F"/>
      <rgbColor rgb="FFF5F5F5"/>
      <rgbColor rgb="FFFBE9E7"/>
      <rgbColor rgb="FFE8F0FE"/>
      <rgbColor rgb="FF4A148C"/>
      <rgbColor rgb="FF555555"/>
      <rgbColor rgb="FF00695C"/>
      <rgbColor rgb="FF01579B"/>
      <rgbColor rgb="FFE8EEF8"/>
      <rgbColor rgb="FFE3F2FD"/>
      <rgbColor rgb="FFC8E6C9"/>
      <rgbColor rgb="FFFFF3E0"/>
      <rgbColor rgb="FFB3E5FC"/>
      <rgbColor rgb="FFF48FB1"/>
      <rgbColor rgb="FFD6E4F7"/>
      <rgbColor rgb="FFF8BBD0"/>
      <rgbColor rgb="FF2E5A9B"/>
      <rgbColor rgb="FF455A64"/>
      <rgbColor rgb="FFEFEBE9"/>
      <rgbColor rgb="FFFCE4EC"/>
      <rgbColor rgb="FFF78017"/>
      <rgbColor rgb="FFE65100"/>
      <rgbColor rgb="FF607D8B"/>
      <rgbColor rgb="FF999999"/>
      <rgbColor rgb="FF1F3864"/>
      <rgbColor rgb="FF2E7D32"/>
      <rgbColor rgb="FF37474F"/>
      <rgbColor rgb="FF212121"/>
      <rgbColor rgb="FFB71C1C"/>
      <rgbColor rgb="FF5D4037"/>
      <rgbColor rgb="FF1A237E"/>
      <rgbColor rgb="FF3E2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5"/>
    <col collapsed="false" customWidth="true" hidden="false" outlineLevel="0" max="3" min="3" style="1" width="28"/>
    <col collapsed="false" customWidth="true" hidden="false" outlineLevel="0" max="4" min="4" style="1" width="50"/>
    <col collapsed="false" customWidth="true" hidden="false" outlineLevel="0" max="6" min="5" style="1" width="3"/>
  </cols>
  <sheetData>
    <row r="1" customFormat="false" ht="49.5" hidden="false" customHeight="true" outlineLevel="0" collapsed="false">
      <c r="A1" s="2"/>
      <c r="B1" s="3" t="s">
        <v>0</v>
      </c>
      <c r="C1" s="3"/>
      <c r="D1" s="3"/>
    </row>
    <row r="2" customFormat="false" ht="21.75" hidden="false" customHeight="true" outlineLevel="0" collapsed="false">
      <c r="B2" s="4" t="s">
        <v>1</v>
      </c>
      <c r="C2" s="4"/>
      <c r="D2" s="4"/>
    </row>
    <row r="3" customFormat="false" ht="7.5" hidden="false" customHeight="true" outlineLevel="0" collapsed="false">
      <c r="B3" s="5"/>
    </row>
    <row r="4" customFormat="false" ht="27.75" hidden="false" customHeight="true" outlineLevel="0" collapsed="false">
      <c r="B4" s="6" t="s">
        <v>2</v>
      </c>
      <c r="C4" s="6"/>
      <c r="D4" s="6"/>
    </row>
    <row r="5" customFormat="false" ht="27.75" hidden="false" customHeight="true" outlineLevel="0" collapsed="false">
      <c r="B5" s="7" t="s">
        <v>3</v>
      </c>
      <c r="C5" s="8" t="s">
        <v>4</v>
      </c>
      <c r="D5" s="9" t="s">
        <v>5</v>
      </c>
    </row>
    <row r="6" customFormat="false" ht="27.75" hidden="false" customHeight="true" outlineLevel="0" collapsed="false">
      <c r="B6" s="10" t="s">
        <v>6</v>
      </c>
      <c r="C6" s="11" t="s">
        <v>7</v>
      </c>
      <c r="D6" s="12" t="s">
        <v>8</v>
      </c>
    </row>
    <row r="7" customFormat="false" ht="27.75" hidden="false" customHeight="true" outlineLevel="0" collapsed="false">
      <c r="B7" s="13" t="s">
        <v>9</v>
      </c>
      <c r="C7" s="14" t="s">
        <v>10</v>
      </c>
      <c r="D7" s="9" t="s">
        <v>11</v>
      </c>
    </row>
    <row r="8" customFormat="false" ht="27.75" hidden="false" customHeight="true" outlineLevel="0" collapsed="false">
      <c r="B8" s="15" t="s">
        <v>12</v>
      </c>
      <c r="C8" s="16" t="s">
        <v>13</v>
      </c>
      <c r="D8" s="12" t="s">
        <v>14</v>
      </c>
    </row>
    <row r="9" customFormat="false" ht="27.75" hidden="false" customHeight="true" outlineLevel="0" collapsed="false">
      <c r="B9" s="7" t="s">
        <v>15</v>
      </c>
      <c r="C9" s="8" t="s">
        <v>16</v>
      </c>
      <c r="D9" s="9" t="s">
        <v>17</v>
      </c>
    </row>
    <row r="10" customFormat="false" ht="27.75" hidden="false" customHeight="true" outlineLevel="0" collapsed="false">
      <c r="B10" s="10" t="s">
        <v>18</v>
      </c>
      <c r="C10" s="11" t="s">
        <v>19</v>
      </c>
      <c r="D10" s="12" t="s">
        <v>20</v>
      </c>
    </row>
    <row r="11" customFormat="false" ht="27.75" hidden="false" customHeight="true" outlineLevel="0" collapsed="false">
      <c r="B11" s="13" t="s">
        <v>21</v>
      </c>
      <c r="C11" s="14" t="s">
        <v>22</v>
      </c>
      <c r="D11" s="9" t="s">
        <v>23</v>
      </c>
    </row>
    <row r="12" customFormat="false" ht="27.75" hidden="false" customHeight="true" outlineLevel="0" collapsed="false">
      <c r="B12" s="10" t="s">
        <v>24</v>
      </c>
      <c r="C12" s="11" t="s">
        <v>25</v>
      </c>
      <c r="D12" s="12" t="s">
        <v>26</v>
      </c>
    </row>
    <row r="13" customFormat="false" ht="7.5" hidden="false" customHeight="true" outlineLevel="0" collapsed="false"/>
    <row r="14" customFormat="false" ht="24" hidden="false" customHeight="true" outlineLevel="0" collapsed="false">
      <c r="A14" s="17"/>
      <c r="B14" s="18" t="s">
        <v>27</v>
      </c>
      <c r="C14" s="18"/>
      <c r="D14" s="18"/>
      <c r="E14" s="17"/>
    </row>
    <row r="15" customFormat="false" ht="21.75" hidden="false" customHeight="true" outlineLevel="0" collapsed="false">
      <c r="A15" s="17"/>
      <c r="B15" s="19" t="s">
        <v>28</v>
      </c>
      <c r="C15" s="20" t="s">
        <v>29</v>
      </c>
      <c r="D15" s="20"/>
      <c r="E15" s="17"/>
    </row>
    <row r="16" customFormat="false" ht="21.75" hidden="false" customHeight="true" outlineLevel="0" collapsed="false">
      <c r="A16" s="17"/>
      <c r="B16" s="21" t="s">
        <v>28</v>
      </c>
      <c r="C16" s="22" t="s">
        <v>30</v>
      </c>
      <c r="D16" s="22"/>
      <c r="E16" s="17"/>
    </row>
    <row r="17" customFormat="false" ht="21.75" hidden="false" customHeight="true" outlineLevel="0" collapsed="false">
      <c r="A17" s="17"/>
      <c r="B17" s="19" t="s">
        <v>28</v>
      </c>
      <c r="C17" s="20" t="s">
        <v>31</v>
      </c>
      <c r="D17" s="20"/>
      <c r="E17" s="17"/>
    </row>
    <row r="18" customFormat="false" ht="21.75" hidden="false" customHeight="true" outlineLevel="0" collapsed="false">
      <c r="A18" s="17"/>
      <c r="B18" s="21" t="s">
        <v>28</v>
      </c>
      <c r="C18" s="22" t="s">
        <v>32</v>
      </c>
      <c r="D18" s="22"/>
      <c r="E18" s="17"/>
    </row>
    <row r="19" customFormat="false" ht="21.75" hidden="false" customHeight="true" outlineLevel="0" collapsed="false">
      <c r="A19" s="17"/>
      <c r="B19" s="19" t="s">
        <v>28</v>
      </c>
      <c r="C19" s="20" t="s">
        <v>33</v>
      </c>
      <c r="D19" s="20"/>
      <c r="E19" s="17"/>
    </row>
    <row r="20" customFormat="false" ht="6" hidden="false" customHeight="true" outlineLevel="0" collapsed="false">
      <c r="A20" s="17"/>
      <c r="B20" s="17"/>
      <c r="C20" s="17"/>
      <c r="D20" s="17"/>
      <c r="E20" s="17"/>
    </row>
    <row r="21" customFormat="false" ht="21.75" hidden="false" customHeight="true" outlineLevel="0" collapsed="false">
      <c r="B21" s="23" t="s">
        <v>34</v>
      </c>
      <c r="C21" s="23"/>
      <c r="D21" s="23"/>
    </row>
    <row r="22" customFormat="false" ht="21.75" hidden="false" customHeight="true" outlineLevel="0" collapsed="false">
      <c r="B22" s="24"/>
      <c r="C22" s="25"/>
    </row>
    <row r="23" customFormat="false" ht="24" hidden="false" customHeight="true" outlineLevel="0" collapsed="false">
      <c r="B23" s="26" t="s">
        <v>35</v>
      </c>
      <c r="C23" s="26"/>
      <c r="D23" s="26"/>
    </row>
    <row r="24" customFormat="false" ht="18" hidden="false" customHeight="true" outlineLevel="0" collapsed="false">
      <c r="B24" s="27" t="s">
        <v>36</v>
      </c>
      <c r="C24" s="28" t="s">
        <v>37</v>
      </c>
      <c r="D24" s="29" t="s">
        <v>38</v>
      </c>
    </row>
    <row r="25" customFormat="false" ht="18" hidden="false" customHeight="true" outlineLevel="0" collapsed="false">
      <c r="B25" s="27" t="s">
        <v>39</v>
      </c>
      <c r="C25" s="28" t="s">
        <v>40</v>
      </c>
      <c r="D25" s="30"/>
    </row>
    <row r="26" customFormat="false" ht="15.75" hidden="false" customHeight="true" outlineLevel="0" collapsed="false">
      <c r="B26" s="31" t="s">
        <v>41</v>
      </c>
      <c r="C26" s="31"/>
      <c r="D26" s="31"/>
    </row>
    <row r="27" customFormat="false" ht="18" hidden="false" customHeight="true" outlineLevel="0" collapsed="false">
      <c r="B27" s="32"/>
      <c r="C27" s="33"/>
    </row>
    <row r="28" customFormat="false" ht="24" hidden="false" customHeight="true" outlineLevel="0" collapsed="false">
      <c r="B28" s="34" t="s">
        <v>42</v>
      </c>
      <c r="C28" s="34"/>
      <c r="D28" s="34"/>
    </row>
    <row r="29" customFormat="false" ht="48" hidden="false" customHeight="true" outlineLevel="0" collapsed="false">
      <c r="B29" s="35" t="s">
        <v>43</v>
      </c>
      <c r="C29" s="35"/>
      <c r="D29" s="35"/>
    </row>
    <row r="30" customFormat="false" ht="48" hidden="false" customHeight="true" outlineLevel="0" collapsed="false">
      <c r="B30" s="35" t="s">
        <v>44</v>
      </c>
      <c r="C30" s="35"/>
      <c r="D30" s="35"/>
    </row>
  </sheetData>
  <mergeCells count="15">
    <mergeCell ref="B1:D1"/>
    <mergeCell ref="B2:D2"/>
    <mergeCell ref="B4:D4"/>
    <mergeCell ref="B14:D14"/>
    <mergeCell ref="C15:D15"/>
    <mergeCell ref="C16:D16"/>
    <mergeCell ref="C17:D17"/>
    <mergeCell ref="C18:D18"/>
    <mergeCell ref="C19:D19"/>
    <mergeCell ref="B21:D21"/>
    <mergeCell ref="B23:D23"/>
    <mergeCell ref="B26:D26"/>
    <mergeCell ref="B28:D28"/>
    <mergeCell ref="B29:D29"/>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9B"/>
    <pageSetUpPr fitToPage="false"/>
  </sheetPr>
  <dimension ref="A1:F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8"/>
    <col collapsed="false" customWidth="true" hidden="false" outlineLevel="0" max="2" min="2" style="1" width="32"/>
    <col collapsed="false" customWidth="true" hidden="false" outlineLevel="0" max="4" min="3" style="1" width="18"/>
    <col collapsed="false" customWidth="true" hidden="false" outlineLevel="0" max="6" min="5" style="1" width="35"/>
  </cols>
  <sheetData>
    <row r="1" customFormat="false" ht="31.5" hidden="false" customHeight="true" outlineLevel="0" collapsed="false">
      <c r="A1" s="36" t="s">
        <v>45</v>
      </c>
      <c r="B1" s="36"/>
      <c r="C1" s="36"/>
      <c r="D1" s="36"/>
      <c r="E1" s="36"/>
      <c r="F1" s="36"/>
    </row>
    <row r="2" customFormat="false" ht="21.75" hidden="false" customHeight="true" outlineLevel="0" collapsed="false">
      <c r="A2" s="37" t="s">
        <v>46</v>
      </c>
      <c r="B2" s="37"/>
      <c r="C2" s="37"/>
      <c r="D2" s="37"/>
      <c r="E2" s="37"/>
      <c r="F2" s="37"/>
    </row>
    <row r="3" customFormat="false" ht="7.5" hidden="false" customHeight="true" outlineLevel="0" collapsed="false">
      <c r="A3" s="38"/>
      <c r="B3" s="38"/>
      <c r="C3" s="38"/>
      <c r="D3" s="38"/>
      <c r="E3" s="38"/>
      <c r="F3" s="38"/>
    </row>
    <row r="4" customFormat="false" ht="24" hidden="false" customHeight="true" outlineLevel="0" collapsed="false">
      <c r="A4" s="26" t="s">
        <v>47</v>
      </c>
      <c r="B4" s="26"/>
      <c r="C4" s="26"/>
      <c r="D4" s="26"/>
      <c r="E4" s="26"/>
      <c r="F4" s="26"/>
    </row>
    <row r="5" customFormat="false" ht="21.75" hidden="false" customHeight="true" outlineLevel="0" collapsed="false">
      <c r="A5" s="39" t="s">
        <v>48</v>
      </c>
      <c r="B5" s="39"/>
      <c r="C5" s="39"/>
      <c r="D5" s="39"/>
      <c r="E5" s="39"/>
      <c r="F5" s="39"/>
    </row>
    <row r="6" customFormat="false" ht="7.5" hidden="false" customHeight="true" outlineLevel="0" collapsed="false">
      <c r="A6" s="38"/>
      <c r="B6" s="38"/>
      <c r="C6" s="38"/>
      <c r="D6" s="38"/>
      <c r="E6" s="38"/>
      <c r="F6" s="38"/>
    </row>
    <row r="7" customFormat="false" ht="19.5" hidden="false" customHeight="true" outlineLevel="0" collapsed="false">
      <c r="A7" s="40" t="s">
        <v>49</v>
      </c>
      <c r="B7" s="40" t="s">
        <v>50</v>
      </c>
      <c r="C7" s="40" t="s">
        <v>51</v>
      </c>
      <c r="D7" s="40" t="s">
        <v>52</v>
      </c>
      <c r="E7" s="40" t="s">
        <v>53</v>
      </c>
      <c r="F7" s="40" t="s">
        <v>54</v>
      </c>
    </row>
    <row r="8" customFormat="false" ht="32.25" hidden="false" customHeight="true" outlineLevel="0" collapsed="false">
      <c r="A8" s="41" t="s">
        <v>55</v>
      </c>
      <c r="B8" s="41" t="s">
        <v>56</v>
      </c>
      <c r="C8" s="41" t="s">
        <v>57</v>
      </c>
      <c r="D8" s="41" t="s">
        <v>58</v>
      </c>
      <c r="E8" s="41" t="s">
        <v>59</v>
      </c>
      <c r="F8" s="41" t="s">
        <v>60</v>
      </c>
    </row>
    <row r="9" customFormat="false" ht="42.75" hidden="false" customHeight="true" outlineLevel="0" collapsed="false">
      <c r="A9" s="41" t="s">
        <v>61</v>
      </c>
      <c r="B9" s="41" t="s">
        <v>62</v>
      </c>
      <c r="C9" s="41" t="s">
        <v>63</v>
      </c>
      <c r="D9" s="41" t="s">
        <v>64</v>
      </c>
      <c r="E9" s="41" t="s">
        <v>65</v>
      </c>
      <c r="F9" s="41" t="s">
        <v>66</v>
      </c>
    </row>
    <row r="10" customFormat="false" ht="42.75" hidden="false" customHeight="true" outlineLevel="0" collapsed="false">
      <c r="A10" s="41" t="s">
        <v>67</v>
      </c>
      <c r="B10" s="41" t="s">
        <v>68</v>
      </c>
      <c r="C10" s="41" t="s">
        <v>69</v>
      </c>
      <c r="D10" s="41" t="s">
        <v>70</v>
      </c>
      <c r="E10" s="41" t="s">
        <v>71</v>
      </c>
      <c r="F10" s="41" t="s">
        <v>72</v>
      </c>
    </row>
    <row r="11" customFormat="false" ht="42.75" hidden="false" customHeight="true" outlineLevel="0" collapsed="false">
      <c r="A11" s="41" t="s">
        <v>73</v>
      </c>
      <c r="B11" s="41" t="s">
        <v>74</v>
      </c>
      <c r="C11" s="41" t="s">
        <v>75</v>
      </c>
      <c r="D11" s="41" t="s">
        <v>76</v>
      </c>
      <c r="E11" s="41" t="s">
        <v>77</v>
      </c>
      <c r="F11" s="41" t="s">
        <v>78</v>
      </c>
    </row>
    <row r="12" customFormat="false" ht="42.75" hidden="false" customHeight="true" outlineLevel="0" collapsed="false">
      <c r="A12" s="41" t="s">
        <v>79</v>
      </c>
      <c r="B12" s="41" t="s">
        <v>80</v>
      </c>
      <c r="C12" s="41" t="s">
        <v>81</v>
      </c>
      <c r="D12" s="41" t="s">
        <v>82</v>
      </c>
      <c r="E12" s="41" t="s">
        <v>83</v>
      </c>
      <c r="F12" s="41" t="s">
        <v>84</v>
      </c>
    </row>
    <row r="13" customFormat="false" ht="53.25" hidden="false" customHeight="true" outlineLevel="0" collapsed="false">
      <c r="A13" s="41" t="s">
        <v>85</v>
      </c>
      <c r="B13" s="41" t="s">
        <v>86</v>
      </c>
      <c r="C13" s="41" t="s">
        <v>87</v>
      </c>
      <c r="D13" s="41" t="s">
        <v>88</v>
      </c>
      <c r="E13" s="41" t="s">
        <v>65</v>
      </c>
      <c r="F13" s="41" t="s">
        <v>89</v>
      </c>
    </row>
    <row r="14" customFormat="false" ht="42.75" hidden="false" customHeight="true" outlineLevel="0" collapsed="false">
      <c r="A14" s="41" t="s">
        <v>90</v>
      </c>
      <c r="B14" s="41" t="s">
        <v>91</v>
      </c>
      <c r="C14" s="41" t="s">
        <v>92</v>
      </c>
      <c r="D14" s="41" t="s">
        <v>93</v>
      </c>
      <c r="E14" s="41" t="s">
        <v>94</v>
      </c>
      <c r="F14" s="41" t="s">
        <v>95</v>
      </c>
    </row>
    <row r="15" customFormat="false" ht="42.75" hidden="false" customHeight="true" outlineLevel="0" collapsed="false">
      <c r="A15" s="41" t="s">
        <v>96</v>
      </c>
      <c r="B15" s="41" t="s">
        <v>97</v>
      </c>
      <c r="C15" s="41" t="s">
        <v>98</v>
      </c>
      <c r="D15" s="41" t="s">
        <v>99</v>
      </c>
      <c r="E15" s="41" t="s">
        <v>71</v>
      </c>
      <c r="F15" s="41" t="s">
        <v>100</v>
      </c>
    </row>
    <row r="16" customFormat="false" ht="32.25" hidden="false" customHeight="true" outlineLevel="0" collapsed="false">
      <c r="A16" s="41" t="s">
        <v>101</v>
      </c>
      <c r="B16" s="41" t="s">
        <v>102</v>
      </c>
      <c r="C16" s="41" t="s">
        <v>103</v>
      </c>
      <c r="D16" s="41" t="s">
        <v>104</v>
      </c>
      <c r="E16" s="41" t="s">
        <v>77</v>
      </c>
      <c r="F16" s="41" t="s">
        <v>105</v>
      </c>
    </row>
    <row r="17" customFormat="false" ht="42.75" hidden="false" customHeight="true" outlineLevel="0" collapsed="false">
      <c r="A17" s="41" t="s">
        <v>106</v>
      </c>
      <c r="B17" s="41" t="s">
        <v>107</v>
      </c>
      <c r="C17" s="41" t="s">
        <v>108</v>
      </c>
      <c r="D17" s="41" t="s">
        <v>109</v>
      </c>
      <c r="E17" s="41" t="s">
        <v>110</v>
      </c>
      <c r="F17" s="41" t="s">
        <v>111</v>
      </c>
    </row>
    <row r="18" customFormat="false" ht="32.25" hidden="false" customHeight="true" outlineLevel="0" collapsed="false">
      <c r="A18" s="41" t="s">
        <v>112</v>
      </c>
      <c r="B18" s="41" t="s">
        <v>113</v>
      </c>
      <c r="C18" s="41" t="s">
        <v>114</v>
      </c>
      <c r="D18" s="41" t="s">
        <v>115</v>
      </c>
      <c r="E18" s="41" t="s">
        <v>116</v>
      </c>
      <c r="F18" s="41" t="s">
        <v>117</v>
      </c>
    </row>
    <row r="19" customFormat="false" ht="32.25" hidden="false" customHeight="true" outlineLevel="0" collapsed="false">
      <c r="A19" s="41" t="s">
        <v>118</v>
      </c>
      <c r="B19" s="41" t="s">
        <v>119</v>
      </c>
      <c r="C19" s="41" t="s">
        <v>120</v>
      </c>
      <c r="D19" s="41" t="s">
        <v>121</v>
      </c>
      <c r="E19" s="41" t="s">
        <v>77</v>
      </c>
      <c r="F19" s="41" t="s">
        <v>122</v>
      </c>
    </row>
    <row r="20" customFormat="false" ht="7.5" hidden="false" customHeight="true" outlineLevel="0" collapsed="false">
      <c r="A20" s="38"/>
      <c r="B20" s="38"/>
      <c r="C20" s="38"/>
      <c r="D20" s="38"/>
      <c r="E20" s="38"/>
      <c r="F20" s="38"/>
    </row>
    <row r="21" customFormat="false" ht="24" hidden="false" customHeight="true" outlineLevel="0" collapsed="false">
      <c r="A21" s="26" t="s">
        <v>123</v>
      </c>
      <c r="B21" s="26"/>
      <c r="C21" s="26"/>
      <c r="D21" s="26"/>
      <c r="E21" s="26"/>
      <c r="F21" s="26"/>
    </row>
    <row r="22" customFormat="false" ht="7.5" hidden="false" customHeight="true" outlineLevel="0" collapsed="false">
      <c r="A22" s="38"/>
      <c r="B22" s="38"/>
      <c r="C22" s="38"/>
      <c r="D22" s="38"/>
      <c r="E22" s="38"/>
      <c r="F22" s="38"/>
    </row>
    <row r="23" customFormat="false" ht="19.5" hidden="false" customHeight="true" outlineLevel="0" collapsed="false">
      <c r="A23" s="42" t="s">
        <v>124</v>
      </c>
      <c r="B23" s="42"/>
      <c r="C23" s="42"/>
      <c r="D23" s="42"/>
      <c r="E23" s="42"/>
      <c r="F23" s="42"/>
    </row>
    <row r="24" customFormat="false" ht="19.5" hidden="false" customHeight="true" outlineLevel="0" collapsed="false">
      <c r="A24" s="40" t="s">
        <v>49</v>
      </c>
      <c r="B24" s="40" t="s">
        <v>125</v>
      </c>
      <c r="C24" s="40" t="s">
        <v>51</v>
      </c>
      <c r="D24" s="40" t="s">
        <v>52</v>
      </c>
      <c r="E24" s="40" t="s">
        <v>53</v>
      </c>
      <c r="F24" s="40" t="s">
        <v>54</v>
      </c>
    </row>
    <row r="25" customFormat="false" ht="53.25" hidden="false" customHeight="true" outlineLevel="0" collapsed="false">
      <c r="A25" s="41" t="s">
        <v>55</v>
      </c>
      <c r="B25" s="41" t="s">
        <v>126</v>
      </c>
      <c r="C25" s="41" t="s">
        <v>127</v>
      </c>
      <c r="D25" s="41" t="s">
        <v>128</v>
      </c>
      <c r="E25" s="41" t="s">
        <v>77</v>
      </c>
      <c r="F25" s="41" t="s">
        <v>129</v>
      </c>
    </row>
    <row r="26" customFormat="false" ht="42.75" hidden="false" customHeight="true" outlineLevel="0" collapsed="false">
      <c r="A26" s="41" t="s">
        <v>61</v>
      </c>
      <c r="B26" s="41" t="s">
        <v>130</v>
      </c>
      <c r="C26" s="41" t="s">
        <v>131</v>
      </c>
      <c r="D26" s="41" t="s">
        <v>132</v>
      </c>
      <c r="E26" s="41" t="s">
        <v>133</v>
      </c>
      <c r="F26" s="41" t="s">
        <v>134</v>
      </c>
    </row>
    <row r="27" customFormat="false" ht="53.25" hidden="false" customHeight="true" outlineLevel="0" collapsed="false">
      <c r="A27" s="41" t="s">
        <v>67</v>
      </c>
      <c r="B27" s="41" t="s">
        <v>135</v>
      </c>
      <c r="C27" s="41" t="s">
        <v>136</v>
      </c>
      <c r="D27" s="41" t="s">
        <v>137</v>
      </c>
      <c r="E27" s="41" t="s">
        <v>77</v>
      </c>
      <c r="F27" s="41" t="s">
        <v>138</v>
      </c>
    </row>
    <row r="28" customFormat="false" ht="42.75" hidden="false" customHeight="true" outlineLevel="0" collapsed="false">
      <c r="A28" s="41" t="s">
        <v>73</v>
      </c>
      <c r="B28" s="41" t="s">
        <v>139</v>
      </c>
      <c r="C28" s="41" t="s">
        <v>140</v>
      </c>
      <c r="D28" s="41" t="s">
        <v>141</v>
      </c>
      <c r="E28" s="41" t="s">
        <v>142</v>
      </c>
      <c r="F28" s="41" t="s">
        <v>143</v>
      </c>
    </row>
    <row r="29" customFormat="false" ht="32.25" hidden="false" customHeight="true" outlineLevel="0" collapsed="false">
      <c r="A29" s="41" t="s">
        <v>79</v>
      </c>
      <c r="B29" s="41" t="s">
        <v>144</v>
      </c>
      <c r="C29" s="41" t="s">
        <v>145</v>
      </c>
      <c r="D29" s="41" t="s">
        <v>146</v>
      </c>
      <c r="E29" s="41" t="s">
        <v>71</v>
      </c>
      <c r="F29" s="41" t="s">
        <v>147</v>
      </c>
    </row>
    <row r="30" customFormat="false" ht="42.75" hidden="false" customHeight="true" outlineLevel="0" collapsed="false">
      <c r="A30" s="41" t="s">
        <v>85</v>
      </c>
      <c r="B30" s="41" t="s">
        <v>148</v>
      </c>
      <c r="C30" s="41" t="s">
        <v>149</v>
      </c>
      <c r="D30" s="41" t="s">
        <v>150</v>
      </c>
      <c r="E30" s="41" t="s">
        <v>71</v>
      </c>
      <c r="F30" s="41" t="s">
        <v>151</v>
      </c>
    </row>
    <row r="31" customFormat="false" ht="42.75" hidden="false" customHeight="true" outlineLevel="0" collapsed="false">
      <c r="A31" s="41" t="s">
        <v>90</v>
      </c>
      <c r="B31" s="41" t="s">
        <v>152</v>
      </c>
      <c r="C31" s="41" t="s">
        <v>153</v>
      </c>
      <c r="D31" s="41" t="s">
        <v>154</v>
      </c>
      <c r="E31" s="41" t="s">
        <v>110</v>
      </c>
      <c r="F31" s="41" t="s">
        <v>155</v>
      </c>
    </row>
    <row r="32" customFormat="false" ht="42.75" hidden="false" customHeight="true" outlineLevel="0" collapsed="false">
      <c r="A32" s="41" t="s">
        <v>96</v>
      </c>
      <c r="B32" s="41" t="s">
        <v>156</v>
      </c>
      <c r="C32" s="41" t="s">
        <v>157</v>
      </c>
      <c r="D32" s="41" t="s">
        <v>158</v>
      </c>
      <c r="E32" s="41" t="s">
        <v>77</v>
      </c>
      <c r="F32" s="41" t="s">
        <v>159</v>
      </c>
    </row>
    <row r="33" customFormat="false" ht="42.75" hidden="false" customHeight="true" outlineLevel="0" collapsed="false">
      <c r="A33" s="41" t="s">
        <v>101</v>
      </c>
      <c r="B33" s="41" t="s">
        <v>160</v>
      </c>
      <c r="C33" s="41" t="s">
        <v>161</v>
      </c>
      <c r="D33" s="41" t="s">
        <v>162</v>
      </c>
      <c r="E33" s="41" t="s">
        <v>94</v>
      </c>
      <c r="F33" s="41" t="s">
        <v>163</v>
      </c>
    </row>
    <row r="34" customFormat="false" ht="7.5" hidden="false" customHeight="true" outlineLevel="0" collapsed="false">
      <c r="A34" s="38"/>
      <c r="B34" s="38"/>
      <c r="C34" s="38"/>
      <c r="D34" s="38"/>
      <c r="E34" s="38"/>
      <c r="F34" s="38"/>
    </row>
    <row r="35" customFormat="false" ht="19.5" hidden="false" customHeight="true" outlineLevel="0" collapsed="false">
      <c r="A35" s="42" t="s">
        <v>164</v>
      </c>
      <c r="B35" s="42"/>
      <c r="C35" s="42"/>
      <c r="D35" s="42"/>
      <c r="E35" s="42"/>
      <c r="F35" s="42"/>
    </row>
    <row r="36" customFormat="false" ht="19.5" hidden="false" customHeight="true" outlineLevel="0" collapsed="false">
      <c r="A36" s="40" t="s">
        <v>49</v>
      </c>
      <c r="B36" s="40" t="s">
        <v>125</v>
      </c>
      <c r="C36" s="40" t="s">
        <v>51</v>
      </c>
      <c r="D36" s="40" t="s">
        <v>52</v>
      </c>
      <c r="E36" s="40" t="s">
        <v>53</v>
      </c>
      <c r="F36" s="40" t="s">
        <v>54</v>
      </c>
    </row>
    <row r="37" customFormat="false" ht="42.75" hidden="false" customHeight="true" outlineLevel="0" collapsed="false">
      <c r="A37" s="41" t="s">
        <v>55</v>
      </c>
      <c r="B37" s="41" t="s">
        <v>165</v>
      </c>
      <c r="C37" s="41" t="s">
        <v>166</v>
      </c>
      <c r="D37" s="41" t="s">
        <v>167</v>
      </c>
      <c r="E37" s="41" t="s">
        <v>59</v>
      </c>
      <c r="F37" s="41" t="s">
        <v>168</v>
      </c>
    </row>
    <row r="38" customFormat="false" ht="32.25" hidden="false" customHeight="true" outlineLevel="0" collapsed="false">
      <c r="A38" s="41" t="s">
        <v>61</v>
      </c>
      <c r="B38" s="41" t="s">
        <v>169</v>
      </c>
      <c r="C38" s="41" t="s">
        <v>170</v>
      </c>
      <c r="D38" s="41" t="s">
        <v>171</v>
      </c>
      <c r="E38" s="41" t="s">
        <v>59</v>
      </c>
      <c r="F38" s="41" t="s">
        <v>172</v>
      </c>
    </row>
    <row r="39" customFormat="false" ht="42.75" hidden="false" customHeight="true" outlineLevel="0" collapsed="false">
      <c r="A39" s="41" t="s">
        <v>67</v>
      </c>
      <c r="B39" s="41" t="s">
        <v>173</v>
      </c>
      <c r="C39" s="41" t="s">
        <v>174</v>
      </c>
      <c r="D39" s="41" t="s">
        <v>175</v>
      </c>
      <c r="E39" s="41" t="s">
        <v>176</v>
      </c>
      <c r="F39" s="41" t="s">
        <v>177</v>
      </c>
    </row>
    <row r="40" customFormat="false" ht="32.25" hidden="false" customHeight="true" outlineLevel="0" collapsed="false">
      <c r="A40" s="41" t="s">
        <v>73</v>
      </c>
      <c r="B40" s="41" t="s">
        <v>178</v>
      </c>
      <c r="C40" s="41" t="s">
        <v>179</v>
      </c>
      <c r="D40" s="41" t="s">
        <v>180</v>
      </c>
      <c r="E40" s="41" t="s">
        <v>176</v>
      </c>
      <c r="F40" s="41" t="s">
        <v>181</v>
      </c>
    </row>
    <row r="41" customFormat="false" ht="7.5" hidden="false" customHeight="true" outlineLevel="0" collapsed="false">
      <c r="A41" s="38"/>
      <c r="B41" s="38"/>
      <c r="C41" s="38"/>
      <c r="D41" s="38"/>
      <c r="E41" s="38"/>
      <c r="F41" s="38"/>
    </row>
    <row r="42" customFormat="false" ht="19.5" hidden="false" customHeight="true" outlineLevel="0" collapsed="false">
      <c r="A42" s="42" t="s">
        <v>182</v>
      </c>
      <c r="B42" s="42"/>
      <c r="C42" s="42"/>
      <c r="D42" s="42"/>
      <c r="E42" s="42"/>
      <c r="F42" s="42"/>
    </row>
    <row r="43" customFormat="false" ht="19.5" hidden="false" customHeight="true" outlineLevel="0" collapsed="false">
      <c r="A43" s="40" t="s">
        <v>49</v>
      </c>
      <c r="B43" s="40" t="s">
        <v>125</v>
      </c>
      <c r="C43" s="40" t="s">
        <v>51</v>
      </c>
      <c r="D43" s="40" t="s">
        <v>52</v>
      </c>
      <c r="E43" s="40" t="s">
        <v>53</v>
      </c>
      <c r="F43" s="40" t="s">
        <v>54</v>
      </c>
    </row>
    <row r="44" customFormat="false" ht="32.25" hidden="false" customHeight="true" outlineLevel="0" collapsed="false">
      <c r="A44" s="41" t="s">
        <v>55</v>
      </c>
      <c r="B44" s="41" t="s">
        <v>183</v>
      </c>
      <c r="C44" s="41" t="s">
        <v>184</v>
      </c>
      <c r="D44" s="41" t="s">
        <v>185</v>
      </c>
      <c r="E44" s="41" t="s">
        <v>142</v>
      </c>
      <c r="F44" s="41" t="s">
        <v>186</v>
      </c>
    </row>
    <row r="45" customFormat="false" ht="42.75" hidden="false" customHeight="true" outlineLevel="0" collapsed="false">
      <c r="A45" s="41" t="s">
        <v>61</v>
      </c>
      <c r="B45" s="41" t="s">
        <v>187</v>
      </c>
      <c r="C45" s="41" t="s">
        <v>188</v>
      </c>
      <c r="D45" s="41" t="s">
        <v>189</v>
      </c>
      <c r="E45" s="41" t="s">
        <v>116</v>
      </c>
      <c r="F45" s="41" t="s">
        <v>190</v>
      </c>
    </row>
    <row r="46" customFormat="false" ht="53.25" hidden="false" customHeight="true" outlineLevel="0" collapsed="false">
      <c r="A46" s="41" t="s">
        <v>67</v>
      </c>
      <c r="B46" s="41" t="s">
        <v>191</v>
      </c>
      <c r="C46" s="41" t="s">
        <v>192</v>
      </c>
      <c r="D46" s="41" t="s">
        <v>193</v>
      </c>
      <c r="E46" s="41" t="s">
        <v>194</v>
      </c>
      <c r="F46" s="41" t="s">
        <v>195</v>
      </c>
    </row>
    <row r="47" customFormat="false" ht="7.5" hidden="false" customHeight="true" outlineLevel="0" collapsed="false">
      <c r="A47" s="38"/>
      <c r="B47" s="38"/>
      <c r="C47" s="38"/>
      <c r="D47" s="38"/>
      <c r="E47" s="38"/>
      <c r="F47" s="38"/>
    </row>
    <row r="48" customFormat="false" ht="24" hidden="false" customHeight="true" outlineLevel="0" collapsed="false">
      <c r="A48" s="26" t="s">
        <v>196</v>
      </c>
      <c r="B48" s="26"/>
      <c r="C48" s="26"/>
      <c r="D48" s="26"/>
      <c r="E48" s="26"/>
      <c r="F48" s="26"/>
    </row>
    <row r="49" customFormat="false" ht="7.5" hidden="false" customHeight="true" outlineLevel="0" collapsed="false">
      <c r="A49" s="38"/>
      <c r="B49" s="38"/>
      <c r="C49" s="38"/>
      <c r="D49" s="38"/>
      <c r="E49" s="38"/>
      <c r="F49" s="38"/>
    </row>
    <row r="50" customFormat="false" ht="19.5" hidden="false" customHeight="true" outlineLevel="0" collapsed="false">
      <c r="A50" s="42" t="s">
        <v>197</v>
      </c>
      <c r="B50" s="42"/>
      <c r="C50" s="42"/>
      <c r="D50" s="42"/>
      <c r="E50" s="42"/>
      <c r="F50" s="42"/>
    </row>
    <row r="51" customFormat="false" ht="19.5" hidden="false" customHeight="true" outlineLevel="0" collapsed="false">
      <c r="A51" s="40" t="s">
        <v>49</v>
      </c>
      <c r="B51" s="40" t="s">
        <v>198</v>
      </c>
      <c r="C51" s="40" t="s">
        <v>199</v>
      </c>
      <c r="D51" s="40" t="s">
        <v>200</v>
      </c>
      <c r="E51" s="40"/>
      <c r="F51" s="40"/>
    </row>
    <row r="52" customFormat="false" ht="21.75" hidden="false" customHeight="true" outlineLevel="0" collapsed="false">
      <c r="A52" s="43" t="s">
        <v>55</v>
      </c>
      <c r="B52" s="44" t="s">
        <v>201</v>
      </c>
      <c r="C52" s="41" t="s">
        <v>202</v>
      </c>
      <c r="D52" s="41"/>
      <c r="E52" s="45" t="s">
        <v>203</v>
      </c>
      <c r="F52" s="45"/>
    </row>
    <row r="53" customFormat="false" ht="21.75" hidden="false" customHeight="true" outlineLevel="0" collapsed="false">
      <c r="A53" s="43" t="s">
        <v>61</v>
      </c>
      <c r="B53" s="44" t="s">
        <v>204</v>
      </c>
      <c r="C53" s="41" t="s">
        <v>205</v>
      </c>
      <c r="D53" s="41"/>
      <c r="E53" s="45" t="s">
        <v>206</v>
      </c>
      <c r="F53" s="45"/>
    </row>
    <row r="54" customFormat="false" ht="21.75" hidden="false" customHeight="true" outlineLevel="0" collapsed="false">
      <c r="A54" s="43" t="s">
        <v>67</v>
      </c>
      <c r="B54" s="44" t="s">
        <v>207</v>
      </c>
      <c r="C54" s="41" t="s">
        <v>208</v>
      </c>
      <c r="D54" s="41"/>
      <c r="E54" s="45" t="s">
        <v>209</v>
      </c>
      <c r="F54" s="45"/>
    </row>
    <row r="55" customFormat="false" ht="21.75" hidden="false" customHeight="true" outlineLevel="0" collapsed="false">
      <c r="A55" s="43" t="s">
        <v>73</v>
      </c>
      <c r="B55" s="44" t="s">
        <v>210</v>
      </c>
      <c r="C55" s="41" t="s">
        <v>211</v>
      </c>
      <c r="D55" s="41"/>
      <c r="E55" s="45" t="s">
        <v>206</v>
      </c>
      <c r="F55" s="45"/>
    </row>
    <row r="56" customFormat="false" ht="32.25" hidden="false" customHeight="true" outlineLevel="0" collapsed="false">
      <c r="A56" s="43" t="s">
        <v>79</v>
      </c>
      <c r="B56" s="44" t="s">
        <v>212</v>
      </c>
      <c r="C56" s="41" t="s">
        <v>213</v>
      </c>
      <c r="D56" s="41"/>
      <c r="E56" s="45" t="s">
        <v>214</v>
      </c>
      <c r="F56" s="45"/>
    </row>
    <row r="57" customFormat="false" ht="21.75" hidden="false" customHeight="true" outlineLevel="0" collapsed="false">
      <c r="A57" s="43" t="s">
        <v>85</v>
      </c>
      <c r="B57" s="44" t="s">
        <v>215</v>
      </c>
      <c r="C57" s="41" t="s">
        <v>216</v>
      </c>
      <c r="D57" s="41"/>
      <c r="E57" s="45" t="s">
        <v>217</v>
      </c>
      <c r="F57" s="45"/>
    </row>
    <row r="58" customFormat="false" ht="21.75" hidden="false" customHeight="true" outlineLevel="0" collapsed="false">
      <c r="A58" s="43" t="s">
        <v>90</v>
      </c>
      <c r="B58" s="44" t="s">
        <v>218</v>
      </c>
      <c r="C58" s="41" t="s">
        <v>219</v>
      </c>
      <c r="D58" s="41"/>
      <c r="E58" s="45" t="s">
        <v>220</v>
      </c>
      <c r="F58" s="45"/>
    </row>
    <row r="59" customFormat="false" ht="21.75" hidden="false" customHeight="true" outlineLevel="0" collapsed="false">
      <c r="A59" s="43" t="s">
        <v>96</v>
      </c>
      <c r="B59" s="44" t="s">
        <v>221</v>
      </c>
      <c r="C59" s="41" t="s">
        <v>222</v>
      </c>
      <c r="D59" s="41"/>
      <c r="E59" s="45" t="s">
        <v>223</v>
      </c>
      <c r="F59" s="45"/>
    </row>
    <row r="60" customFormat="false" ht="7.5" hidden="false" customHeight="true" outlineLevel="0" collapsed="false">
      <c r="A60" s="38"/>
      <c r="B60" s="38"/>
      <c r="C60" s="38"/>
      <c r="D60" s="38"/>
      <c r="E60" s="38"/>
      <c r="F60" s="38"/>
    </row>
    <row r="61" customFormat="false" ht="19.5" hidden="false" customHeight="true" outlineLevel="0" collapsed="false">
      <c r="A61" s="42" t="s">
        <v>224</v>
      </c>
      <c r="B61" s="42"/>
      <c r="C61" s="42"/>
      <c r="D61" s="42"/>
      <c r="E61" s="42"/>
      <c r="F61" s="42"/>
    </row>
    <row r="62" customFormat="false" ht="19.5" hidden="false" customHeight="true" outlineLevel="0" collapsed="false">
      <c r="A62" s="40" t="s">
        <v>225</v>
      </c>
      <c r="B62" s="40" t="s">
        <v>226</v>
      </c>
      <c r="C62" s="40" t="s">
        <v>227</v>
      </c>
      <c r="D62" s="40" t="s">
        <v>228</v>
      </c>
      <c r="E62" s="40" t="s">
        <v>229</v>
      </c>
      <c r="F62" s="40" t="s">
        <v>230</v>
      </c>
    </row>
    <row r="63" customFormat="false" ht="21.75" hidden="false" customHeight="true" outlineLevel="0" collapsed="false">
      <c r="A63" s="41" t="s">
        <v>231</v>
      </c>
      <c r="B63" s="41" t="s">
        <v>232</v>
      </c>
      <c r="C63" s="41" t="s">
        <v>233</v>
      </c>
      <c r="D63" s="41" t="s">
        <v>234</v>
      </c>
      <c r="E63" s="41" t="s">
        <v>235</v>
      </c>
      <c r="F63" s="41" t="s">
        <v>236</v>
      </c>
    </row>
    <row r="64" customFormat="false" ht="21.75" hidden="false" customHeight="true" outlineLevel="0" collapsed="false">
      <c r="A64" s="41" t="s">
        <v>237</v>
      </c>
      <c r="B64" s="41" t="s">
        <v>238</v>
      </c>
      <c r="C64" s="41" t="s">
        <v>239</v>
      </c>
      <c r="D64" s="41" t="s">
        <v>240</v>
      </c>
      <c r="E64" s="41" t="s">
        <v>241</v>
      </c>
      <c r="F64" s="41"/>
    </row>
    <row r="65" customFormat="false" ht="21.75" hidden="false" customHeight="true" outlineLevel="0" collapsed="false">
      <c r="A65" s="41" t="s">
        <v>242</v>
      </c>
      <c r="B65" s="41" t="s">
        <v>243</v>
      </c>
      <c r="C65" s="41" t="s">
        <v>239</v>
      </c>
      <c r="D65" s="41" t="s">
        <v>240</v>
      </c>
      <c r="E65" s="41" t="s">
        <v>244</v>
      </c>
      <c r="F65" s="41"/>
    </row>
    <row r="66" customFormat="false" ht="21.75" hidden="false" customHeight="true" outlineLevel="0" collapsed="false">
      <c r="A66" s="41" t="s">
        <v>245</v>
      </c>
      <c r="B66" s="41" t="s">
        <v>246</v>
      </c>
      <c r="C66" s="41" t="s">
        <v>239</v>
      </c>
      <c r="D66" s="41" t="s">
        <v>240</v>
      </c>
      <c r="E66" s="41" t="s">
        <v>247</v>
      </c>
      <c r="F66" s="41"/>
    </row>
    <row r="67" customFormat="false" ht="21.75" hidden="false" customHeight="true" outlineLevel="0" collapsed="false">
      <c r="A67" s="41" t="s">
        <v>248</v>
      </c>
      <c r="B67" s="41" t="s">
        <v>249</v>
      </c>
      <c r="C67" s="41" t="s">
        <v>233</v>
      </c>
      <c r="D67" s="41" t="s">
        <v>234</v>
      </c>
      <c r="E67" s="41" t="s">
        <v>250</v>
      </c>
      <c r="F67" s="41"/>
    </row>
    <row r="68" customFormat="false" ht="21.75" hidden="false" customHeight="true" outlineLevel="0" collapsed="false">
      <c r="A68" s="41" t="s">
        <v>251</v>
      </c>
      <c r="B68" s="41" t="s">
        <v>252</v>
      </c>
      <c r="C68" s="41" t="s">
        <v>239</v>
      </c>
      <c r="D68" s="41" t="s">
        <v>240</v>
      </c>
      <c r="E68" s="41" t="s">
        <v>253</v>
      </c>
      <c r="F68" s="41"/>
    </row>
    <row r="69" customFormat="false" ht="7.5" hidden="false" customHeight="true" outlineLevel="0" collapsed="false">
      <c r="A69" s="38"/>
      <c r="B69" s="38"/>
      <c r="C69" s="38"/>
      <c r="D69" s="38"/>
      <c r="E69" s="38"/>
      <c r="F69" s="38"/>
    </row>
    <row r="70" customFormat="false" ht="19.5" hidden="false" customHeight="true" outlineLevel="0" collapsed="false">
      <c r="A70" s="42" t="s">
        <v>254</v>
      </c>
      <c r="B70" s="42"/>
      <c r="C70" s="42"/>
      <c r="D70" s="42"/>
      <c r="E70" s="42"/>
      <c r="F70" s="42"/>
    </row>
    <row r="71" customFormat="false" ht="21.75" hidden="false" customHeight="true" outlineLevel="0" collapsed="false">
      <c r="A71" s="39" t="s">
        <v>255</v>
      </c>
      <c r="B71" s="39"/>
      <c r="C71" s="39"/>
      <c r="D71" s="39"/>
      <c r="E71" s="39"/>
      <c r="F71" s="39"/>
    </row>
    <row r="72" customFormat="false" ht="15" hidden="false" customHeight="true" outlineLevel="0" collapsed="false">
      <c r="A72" s="39" t="s">
        <v>256</v>
      </c>
      <c r="B72" s="39"/>
      <c r="C72" s="39"/>
      <c r="D72" s="39"/>
      <c r="E72" s="39"/>
      <c r="F72" s="39"/>
    </row>
    <row r="73" customFormat="false" ht="15" hidden="false" customHeight="true" outlineLevel="0" collapsed="false">
      <c r="A73" s="39" t="s">
        <v>257</v>
      </c>
      <c r="B73" s="39"/>
      <c r="C73" s="39"/>
      <c r="D73" s="39"/>
      <c r="E73" s="39"/>
      <c r="F73" s="39"/>
    </row>
    <row r="74" customFormat="false" ht="7.5" hidden="false" customHeight="true" outlineLevel="0" collapsed="false">
      <c r="A74" s="38"/>
      <c r="B74" s="38"/>
      <c r="C74" s="38"/>
      <c r="D74" s="38"/>
      <c r="E74" s="38"/>
      <c r="F74" s="38"/>
    </row>
    <row r="75" customFormat="false" ht="19.5" hidden="false" customHeight="true" outlineLevel="0" collapsed="false">
      <c r="A75" s="42" t="s">
        <v>258</v>
      </c>
      <c r="B75" s="42"/>
      <c r="C75" s="42"/>
      <c r="D75" s="42"/>
      <c r="E75" s="42"/>
      <c r="F75" s="42"/>
    </row>
    <row r="76" customFormat="false" ht="19.5" hidden="false" customHeight="true" outlineLevel="0" collapsed="false">
      <c r="A76" s="40" t="s">
        <v>259</v>
      </c>
      <c r="B76" s="40" t="s">
        <v>260</v>
      </c>
      <c r="C76" s="40" t="s">
        <v>261</v>
      </c>
      <c r="D76" s="40"/>
      <c r="E76" s="40"/>
      <c r="F76" s="40"/>
    </row>
    <row r="77" customFormat="false" ht="21.75" hidden="false" customHeight="true" outlineLevel="0" collapsed="false">
      <c r="A77" s="44" t="s">
        <v>262</v>
      </c>
      <c r="B77" s="41" t="s">
        <v>263</v>
      </c>
      <c r="C77" s="41"/>
      <c r="D77" s="46" t="s">
        <v>264</v>
      </c>
      <c r="E77" s="46"/>
      <c r="F77" s="46"/>
    </row>
    <row r="78" customFormat="false" ht="32.25" hidden="false" customHeight="true" outlineLevel="0" collapsed="false">
      <c r="A78" s="44" t="s">
        <v>265</v>
      </c>
      <c r="B78" s="41" t="s">
        <v>266</v>
      </c>
      <c r="C78" s="41"/>
      <c r="D78" s="46" t="s">
        <v>267</v>
      </c>
      <c r="E78" s="46"/>
      <c r="F78" s="46"/>
    </row>
    <row r="79" customFormat="false" ht="32.25" hidden="false" customHeight="true" outlineLevel="0" collapsed="false">
      <c r="A79" s="44" t="s">
        <v>268</v>
      </c>
      <c r="B79" s="41" t="s">
        <v>269</v>
      </c>
      <c r="C79" s="41"/>
      <c r="D79" s="46" t="s">
        <v>270</v>
      </c>
      <c r="E79" s="46"/>
      <c r="F79" s="46"/>
    </row>
    <row r="80" customFormat="false" ht="42.75" hidden="false" customHeight="true" outlineLevel="0" collapsed="false">
      <c r="A80" s="44" t="s">
        <v>271</v>
      </c>
      <c r="B80" s="41" t="s">
        <v>272</v>
      </c>
      <c r="C80" s="41"/>
      <c r="D80" s="46" t="s">
        <v>273</v>
      </c>
      <c r="E80" s="46"/>
      <c r="F80" s="46"/>
    </row>
    <row r="81" customFormat="false" ht="32.25" hidden="false" customHeight="true" outlineLevel="0" collapsed="false">
      <c r="A81" s="44" t="s">
        <v>274</v>
      </c>
      <c r="B81" s="41" t="s">
        <v>275</v>
      </c>
      <c r="C81" s="41"/>
      <c r="D81" s="46" t="s">
        <v>276</v>
      </c>
      <c r="E81" s="46"/>
      <c r="F81" s="46"/>
    </row>
    <row r="82" customFormat="false" ht="21.75" hidden="false" customHeight="true" outlineLevel="0" collapsed="false">
      <c r="A82" s="44" t="s">
        <v>277</v>
      </c>
      <c r="B82" s="41" t="s">
        <v>278</v>
      </c>
      <c r="C82" s="41"/>
      <c r="D82" s="46" t="s">
        <v>279</v>
      </c>
      <c r="E82" s="46"/>
      <c r="F82" s="46"/>
    </row>
    <row r="83" customFormat="false" ht="7.5" hidden="false" customHeight="true" outlineLevel="0" collapsed="false">
      <c r="A83" s="38"/>
      <c r="B83" s="38"/>
      <c r="C83" s="38"/>
      <c r="D83" s="38"/>
      <c r="E83" s="38"/>
      <c r="F83" s="38"/>
    </row>
    <row r="84" customFormat="false" ht="24" hidden="false" customHeight="true" outlineLevel="0" collapsed="false">
      <c r="A84" s="26" t="s">
        <v>280</v>
      </c>
      <c r="B84" s="26"/>
      <c r="C84" s="26"/>
      <c r="D84" s="26"/>
      <c r="E84" s="26"/>
      <c r="F84" s="26"/>
    </row>
    <row r="85" customFormat="false" ht="15" hidden="false" customHeight="true" outlineLevel="0" collapsed="false">
      <c r="A85" s="39" t="s">
        <v>281</v>
      </c>
      <c r="B85" s="39"/>
      <c r="C85" s="39"/>
      <c r="D85" s="39"/>
      <c r="E85" s="39"/>
      <c r="F85" s="39"/>
    </row>
    <row r="86" customFormat="false" ht="7.5" hidden="false" customHeight="true" outlineLevel="0" collapsed="false">
      <c r="A86" s="38"/>
      <c r="B86" s="38"/>
      <c r="C86" s="38"/>
      <c r="D86" s="38"/>
      <c r="E86" s="38"/>
      <c r="F86" s="38"/>
    </row>
    <row r="87" customFormat="false" ht="19.5" hidden="false" customHeight="true" outlineLevel="0" collapsed="false">
      <c r="A87" s="40" t="s">
        <v>282</v>
      </c>
      <c r="B87" s="40" t="s">
        <v>283</v>
      </c>
      <c r="C87" s="40" t="s">
        <v>284</v>
      </c>
      <c r="D87" s="40" t="s">
        <v>285</v>
      </c>
      <c r="E87" s="40" t="s">
        <v>286</v>
      </c>
      <c r="F87" s="40" t="s">
        <v>287</v>
      </c>
    </row>
    <row r="88" customFormat="false" ht="21.75" hidden="false" customHeight="true" outlineLevel="0" collapsed="false">
      <c r="A88" s="41" t="s">
        <v>288</v>
      </c>
      <c r="B88" s="41" t="s">
        <v>289</v>
      </c>
      <c r="C88" s="41" t="s">
        <v>290</v>
      </c>
      <c r="D88" s="41" t="s">
        <v>291</v>
      </c>
      <c r="E88" s="41" t="s">
        <v>292</v>
      </c>
      <c r="F88" s="41" t="s">
        <v>293</v>
      </c>
    </row>
    <row r="89" customFormat="false" ht="42.75" hidden="false" customHeight="true" outlineLevel="0" collapsed="false">
      <c r="A89" s="41" t="s">
        <v>294</v>
      </c>
      <c r="B89" s="41" t="s">
        <v>295</v>
      </c>
      <c r="C89" s="41" t="s">
        <v>296</v>
      </c>
      <c r="D89" s="41" t="s">
        <v>297</v>
      </c>
      <c r="E89" s="41" t="s">
        <v>292</v>
      </c>
      <c r="F89" s="41" t="s">
        <v>293</v>
      </c>
    </row>
    <row r="90" customFormat="false" ht="21.75" hidden="false" customHeight="true" outlineLevel="0" collapsed="false">
      <c r="A90" s="41" t="s">
        <v>298</v>
      </c>
      <c r="B90" s="41" t="s">
        <v>299</v>
      </c>
      <c r="C90" s="41" t="s">
        <v>300</v>
      </c>
      <c r="D90" s="41" t="s">
        <v>301</v>
      </c>
      <c r="E90" s="41" t="s">
        <v>292</v>
      </c>
      <c r="F90" s="41" t="s">
        <v>293</v>
      </c>
    </row>
    <row r="91" customFormat="false" ht="32.25" hidden="false" customHeight="true" outlineLevel="0" collapsed="false">
      <c r="A91" s="41" t="s">
        <v>302</v>
      </c>
      <c r="B91" s="41" t="s">
        <v>303</v>
      </c>
      <c r="C91" s="41" t="s">
        <v>304</v>
      </c>
      <c r="D91" s="41" t="s">
        <v>305</v>
      </c>
      <c r="E91" s="41" t="s">
        <v>306</v>
      </c>
      <c r="F91" s="41" t="s">
        <v>293</v>
      </c>
    </row>
    <row r="92" customFormat="false" ht="32.25" hidden="false" customHeight="true" outlineLevel="0" collapsed="false">
      <c r="A92" s="41" t="s">
        <v>307</v>
      </c>
      <c r="B92" s="41" t="s">
        <v>308</v>
      </c>
      <c r="C92" s="41" t="s">
        <v>309</v>
      </c>
      <c r="D92" s="41" t="s">
        <v>310</v>
      </c>
      <c r="E92" s="41" t="s">
        <v>306</v>
      </c>
      <c r="F92" s="41" t="s">
        <v>293</v>
      </c>
    </row>
    <row r="93" customFormat="false" ht="15" hidden="false" customHeight="true" outlineLevel="0" collapsed="false">
      <c r="A93" s="41" t="s">
        <v>311</v>
      </c>
      <c r="B93" s="41" t="s">
        <v>312</v>
      </c>
      <c r="C93" s="41" t="s">
        <v>313</v>
      </c>
      <c r="D93" s="41" t="s">
        <v>314</v>
      </c>
      <c r="E93" s="41" t="s">
        <v>315</v>
      </c>
      <c r="F93" s="41" t="s">
        <v>293</v>
      </c>
    </row>
    <row r="94" customFormat="false" ht="21.75" hidden="false" customHeight="true" outlineLevel="0" collapsed="false">
      <c r="A94" s="41" t="s">
        <v>316</v>
      </c>
      <c r="B94" s="41" t="s">
        <v>317</v>
      </c>
      <c r="C94" s="41" t="s">
        <v>318</v>
      </c>
      <c r="D94" s="41" t="s">
        <v>319</v>
      </c>
      <c r="E94" s="41" t="s">
        <v>292</v>
      </c>
      <c r="F94" s="41" t="s">
        <v>293</v>
      </c>
    </row>
    <row r="95" customFormat="false" ht="21.75" hidden="false" customHeight="true" outlineLevel="0" collapsed="false">
      <c r="A95" s="41" t="s">
        <v>320</v>
      </c>
      <c r="B95" s="41" t="s">
        <v>321</v>
      </c>
      <c r="C95" s="41" t="s">
        <v>322</v>
      </c>
      <c r="D95" s="41" t="s">
        <v>323</v>
      </c>
      <c r="E95" s="41" t="s">
        <v>292</v>
      </c>
      <c r="F95" s="41" t="s">
        <v>83</v>
      </c>
    </row>
    <row r="96" customFormat="false" ht="42.75" hidden="false" customHeight="true" outlineLevel="0" collapsed="false">
      <c r="A96" s="41" t="s">
        <v>324</v>
      </c>
      <c r="B96" s="41" t="s">
        <v>325</v>
      </c>
      <c r="C96" s="41" t="s">
        <v>326</v>
      </c>
      <c r="D96" s="41" t="s">
        <v>327</v>
      </c>
      <c r="E96" s="41" t="s">
        <v>306</v>
      </c>
      <c r="F96" s="41" t="s">
        <v>83</v>
      </c>
    </row>
    <row r="97" customFormat="false" ht="32.25" hidden="false" customHeight="true" outlineLevel="0" collapsed="false">
      <c r="A97" s="41" t="s">
        <v>328</v>
      </c>
      <c r="B97" s="41" t="s">
        <v>329</v>
      </c>
      <c r="C97" s="41" t="s">
        <v>330</v>
      </c>
      <c r="D97" s="41" t="s">
        <v>291</v>
      </c>
      <c r="E97" s="41" t="s">
        <v>331</v>
      </c>
      <c r="F97" s="41" t="s">
        <v>83</v>
      </c>
    </row>
    <row r="98" customFormat="false" ht="7.5" hidden="false" customHeight="true" outlineLevel="0" collapsed="false">
      <c r="A98" s="38"/>
      <c r="B98" s="38"/>
      <c r="C98" s="38"/>
      <c r="D98" s="38"/>
      <c r="E98" s="38"/>
      <c r="F98" s="38"/>
    </row>
    <row r="99" customFormat="false" ht="24" hidden="false" customHeight="true" outlineLevel="0" collapsed="false">
      <c r="A99" s="26" t="s">
        <v>332</v>
      </c>
      <c r="B99" s="26"/>
      <c r="C99" s="26"/>
      <c r="D99" s="26"/>
      <c r="E99" s="26"/>
      <c r="F99" s="26"/>
    </row>
    <row r="100" customFormat="false" ht="15" hidden="false" customHeight="true" outlineLevel="0" collapsed="false">
      <c r="A100" s="39" t="s">
        <v>333</v>
      </c>
      <c r="B100" s="39"/>
      <c r="C100" s="39"/>
      <c r="D100" s="39"/>
      <c r="E100" s="39"/>
      <c r="F100" s="39"/>
    </row>
    <row r="101" customFormat="false" ht="7.5" hidden="false" customHeight="true" outlineLevel="0" collapsed="false">
      <c r="A101" s="38"/>
      <c r="B101" s="38"/>
      <c r="C101" s="38"/>
      <c r="D101" s="38"/>
      <c r="E101" s="38"/>
      <c r="F101" s="38"/>
    </row>
    <row r="102" customFormat="false" ht="19.5" hidden="false" customHeight="true" outlineLevel="0" collapsed="false">
      <c r="A102" s="40" t="s">
        <v>334</v>
      </c>
      <c r="B102" s="40" t="s">
        <v>261</v>
      </c>
      <c r="C102" s="40" t="s">
        <v>335</v>
      </c>
      <c r="D102" s="40" t="s">
        <v>336</v>
      </c>
      <c r="E102" s="40" t="s">
        <v>337</v>
      </c>
      <c r="F102" s="40" t="s">
        <v>338</v>
      </c>
    </row>
    <row r="103" customFormat="false" ht="21.75" hidden="false" customHeight="true" outlineLevel="0" collapsed="false">
      <c r="A103" s="41" t="s">
        <v>339</v>
      </c>
      <c r="B103" s="41" t="s">
        <v>340</v>
      </c>
      <c r="C103" s="41" t="s">
        <v>341</v>
      </c>
      <c r="D103" s="41" t="s">
        <v>342</v>
      </c>
      <c r="E103" s="41" t="s">
        <v>343</v>
      </c>
      <c r="F103" s="41" t="s">
        <v>133</v>
      </c>
    </row>
    <row r="104" customFormat="false" ht="21.75" hidden="false" customHeight="true" outlineLevel="0" collapsed="false">
      <c r="A104" s="41" t="s">
        <v>344</v>
      </c>
      <c r="B104" s="41" t="s">
        <v>345</v>
      </c>
      <c r="C104" s="41" t="s">
        <v>346</v>
      </c>
      <c r="D104" s="41" t="s">
        <v>347</v>
      </c>
      <c r="E104" s="41" t="s">
        <v>348</v>
      </c>
      <c r="F104" s="41" t="s">
        <v>77</v>
      </c>
    </row>
    <row r="105" customFormat="false" ht="21.75" hidden="false" customHeight="true" outlineLevel="0" collapsed="false">
      <c r="A105" s="41" t="s">
        <v>349</v>
      </c>
      <c r="B105" s="41" t="s">
        <v>350</v>
      </c>
      <c r="C105" s="41" t="s">
        <v>341</v>
      </c>
      <c r="D105" s="41" t="s">
        <v>342</v>
      </c>
      <c r="E105" s="41" t="s">
        <v>351</v>
      </c>
      <c r="F105" s="41" t="s">
        <v>59</v>
      </c>
    </row>
    <row r="106" customFormat="false" ht="15" hidden="false" customHeight="true" outlineLevel="0" collapsed="false">
      <c r="A106" s="41" t="s">
        <v>352</v>
      </c>
      <c r="B106" s="41" t="s">
        <v>353</v>
      </c>
      <c r="C106" s="41" t="s">
        <v>346</v>
      </c>
      <c r="D106" s="41" t="s">
        <v>354</v>
      </c>
      <c r="E106" s="41" t="s">
        <v>355</v>
      </c>
      <c r="F106" s="41" t="s">
        <v>59</v>
      </c>
    </row>
    <row r="107" customFormat="false" ht="15" hidden="false" customHeight="true" outlineLevel="0" collapsed="false">
      <c r="A107" s="41" t="s">
        <v>356</v>
      </c>
      <c r="B107" s="41" t="s">
        <v>357</v>
      </c>
      <c r="C107" s="41" t="s">
        <v>346</v>
      </c>
      <c r="D107" s="41" t="s">
        <v>354</v>
      </c>
      <c r="E107" s="41" t="s">
        <v>358</v>
      </c>
      <c r="F107" s="41" t="s">
        <v>59</v>
      </c>
    </row>
    <row r="108" customFormat="false" ht="15" hidden="false" customHeight="true" outlineLevel="0" collapsed="false">
      <c r="A108" s="41" t="s">
        <v>359</v>
      </c>
      <c r="B108" s="41" t="s">
        <v>360</v>
      </c>
      <c r="C108" s="41" t="s">
        <v>346</v>
      </c>
      <c r="D108" s="41" t="s">
        <v>361</v>
      </c>
      <c r="E108" s="41" t="s">
        <v>362</v>
      </c>
      <c r="F108" s="41" t="s">
        <v>363</v>
      </c>
    </row>
    <row r="109" customFormat="false" ht="7.5" hidden="false" customHeight="true" outlineLevel="0" collapsed="false">
      <c r="A109" s="38"/>
      <c r="B109" s="38"/>
      <c r="C109" s="38"/>
      <c r="D109" s="38"/>
      <c r="E109" s="38"/>
      <c r="F109" s="38"/>
    </row>
    <row r="110" customFormat="false" ht="24" hidden="false" customHeight="true" outlineLevel="0" collapsed="false">
      <c r="A110" s="26" t="s">
        <v>364</v>
      </c>
      <c r="B110" s="26"/>
      <c r="C110" s="26"/>
      <c r="D110" s="26"/>
      <c r="E110" s="26"/>
      <c r="F110" s="26"/>
    </row>
    <row r="111" customFormat="false" ht="7.5" hidden="false" customHeight="true" outlineLevel="0" collapsed="false">
      <c r="A111" s="38"/>
      <c r="B111" s="38"/>
      <c r="C111" s="38"/>
      <c r="D111" s="38"/>
      <c r="E111" s="38"/>
      <c r="F111" s="38"/>
    </row>
    <row r="112" customFormat="false" ht="19.5" hidden="false" customHeight="true" outlineLevel="0" collapsed="false">
      <c r="A112" s="40" t="s">
        <v>365</v>
      </c>
      <c r="B112" s="40" t="s">
        <v>261</v>
      </c>
      <c r="C112" s="40" t="s">
        <v>366</v>
      </c>
      <c r="D112" s="40"/>
      <c r="E112" s="40"/>
      <c r="F112" s="40"/>
    </row>
    <row r="113" customFormat="false" ht="21.75" hidden="false" customHeight="true" outlineLevel="0" collapsed="false">
      <c r="A113" s="44" t="s">
        <v>367</v>
      </c>
      <c r="B113" s="41" t="s">
        <v>368</v>
      </c>
      <c r="C113" s="46" t="s">
        <v>369</v>
      </c>
      <c r="D113" s="46"/>
      <c r="E113" s="46"/>
      <c r="F113" s="46"/>
    </row>
    <row r="114" customFormat="false" ht="42.75" hidden="false" customHeight="true" outlineLevel="0" collapsed="false">
      <c r="A114" s="44" t="s">
        <v>370</v>
      </c>
      <c r="B114" s="41" t="s">
        <v>371</v>
      </c>
      <c r="C114" s="46" t="s">
        <v>372</v>
      </c>
      <c r="D114" s="46"/>
      <c r="E114" s="46"/>
      <c r="F114" s="46"/>
    </row>
    <row r="115" customFormat="false" ht="32.25" hidden="false" customHeight="true" outlineLevel="0" collapsed="false">
      <c r="A115" s="44" t="s">
        <v>373</v>
      </c>
      <c r="B115" s="41" t="s">
        <v>374</v>
      </c>
      <c r="C115" s="46" t="s">
        <v>375</v>
      </c>
      <c r="D115" s="46"/>
      <c r="E115" s="46"/>
      <c r="F115" s="46"/>
    </row>
    <row r="116" customFormat="false" ht="21.75" hidden="false" customHeight="true" outlineLevel="0" collapsed="false">
      <c r="A116" s="44" t="s">
        <v>376</v>
      </c>
      <c r="B116" s="41" t="s">
        <v>377</v>
      </c>
      <c r="C116" s="46" t="s">
        <v>378</v>
      </c>
      <c r="D116" s="46"/>
      <c r="E116" s="46"/>
      <c r="F116" s="46"/>
    </row>
    <row r="117" customFormat="false" ht="42.75" hidden="false" customHeight="true" outlineLevel="0" collapsed="false">
      <c r="A117" s="44" t="s">
        <v>379</v>
      </c>
      <c r="B117" s="41" t="s">
        <v>380</v>
      </c>
      <c r="C117" s="46" t="s">
        <v>381</v>
      </c>
      <c r="D117" s="46"/>
      <c r="E117" s="46"/>
      <c r="F117" s="46"/>
    </row>
    <row r="118" customFormat="false" ht="21.75" hidden="false" customHeight="true" outlineLevel="0" collapsed="false">
      <c r="A118" s="44" t="s">
        <v>382</v>
      </c>
      <c r="B118" s="41" t="s">
        <v>383</v>
      </c>
      <c r="C118" s="46" t="s">
        <v>384</v>
      </c>
      <c r="D118" s="46"/>
      <c r="E118" s="46"/>
      <c r="F118" s="46"/>
    </row>
    <row r="119" customFormat="false" ht="7.5" hidden="false" customHeight="true" outlineLevel="0" collapsed="false">
      <c r="A119" s="38"/>
      <c r="B119" s="38"/>
      <c r="C119" s="38"/>
      <c r="D119" s="38"/>
      <c r="E119" s="38"/>
      <c r="F119" s="38"/>
    </row>
    <row r="120" customFormat="false" ht="24" hidden="false" customHeight="true" outlineLevel="0" collapsed="false">
      <c r="A120" s="47" t="s">
        <v>385</v>
      </c>
      <c r="B120" s="47"/>
      <c r="C120" s="47"/>
      <c r="D120" s="47"/>
      <c r="E120" s="47"/>
      <c r="F120" s="47"/>
    </row>
  </sheetData>
  <mergeCells count="56">
    <mergeCell ref="A1:F1"/>
    <mergeCell ref="A2:F2"/>
    <mergeCell ref="A4:F4"/>
    <mergeCell ref="A5:F5"/>
    <mergeCell ref="A21:F21"/>
    <mergeCell ref="A23:F23"/>
    <mergeCell ref="A35:F35"/>
    <mergeCell ref="A42:F42"/>
    <mergeCell ref="A48:F48"/>
    <mergeCell ref="A50:F50"/>
    <mergeCell ref="C52:D52"/>
    <mergeCell ref="E52:F52"/>
    <mergeCell ref="C53:D53"/>
    <mergeCell ref="E53:F53"/>
    <mergeCell ref="C54:D54"/>
    <mergeCell ref="E54:F54"/>
    <mergeCell ref="C55:D55"/>
    <mergeCell ref="E55:F55"/>
    <mergeCell ref="C56:D56"/>
    <mergeCell ref="E56:F56"/>
    <mergeCell ref="C57:D57"/>
    <mergeCell ref="E57:F57"/>
    <mergeCell ref="C58:D58"/>
    <mergeCell ref="E58:F58"/>
    <mergeCell ref="C59:D59"/>
    <mergeCell ref="E59:F59"/>
    <mergeCell ref="A61:F61"/>
    <mergeCell ref="A70:F70"/>
    <mergeCell ref="A71:F71"/>
    <mergeCell ref="A72:F72"/>
    <mergeCell ref="A73:F73"/>
    <mergeCell ref="A75:F75"/>
    <mergeCell ref="B77:C77"/>
    <mergeCell ref="D77:F77"/>
    <mergeCell ref="B78:C78"/>
    <mergeCell ref="D78:F78"/>
    <mergeCell ref="B79:C79"/>
    <mergeCell ref="D79:F79"/>
    <mergeCell ref="B80:C80"/>
    <mergeCell ref="D80:F80"/>
    <mergeCell ref="B81:C81"/>
    <mergeCell ref="D81:F81"/>
    <mergeCell ref="B82:C82"/>
    <mergeCell ref="D82:F82"/>
    <mergeCell ref="A84:F84"/>
    <mergeCell ref="A85:F85"/>
    <mergeCell ref="A99:F99"/>
    <mergeCell ref="A100:F100"/>
    <mergeCell ref="A110:F110"/>
    <mergeCell ref="C113:F113"/>
    <mergeCell ref="C114:F114"/>
    <mergeCell ref="C115:F115"/>
    <mergeCell ref="C116:F116"/>
    <mergeCell ref="C117:F117"/>
    <mergeCell ref="C118:F118"/>
    <mergeCell ref="A120:F12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28"/>
    <col collapsed="false" customWidth="true" hidden="false" outlineLevel="0" max="5" min="4" style="1" width="24"/>
    <col collapsed="false" customWidth="true" hidden="false" outlineLevel="0" max="6" min="6" style="1" width="14"/>
    <col collapsed="false" customWidth="true" hidden="false" outlineLevel="0" max="7" min="7" style="1" width="22"/>
    <col collapsed="false" customWidth="true" hidden="false" outlineLevel="0" max="9" min="8" style="1" width="14"/>
    <col collapsed="false" customWidth="true" hidden="false" outlineLevel="0" max="10" min="10" style="1" width="22"/>
  </cols>
  <sheetData>
    <row r="1" customFormat="false" ht="36" hidden="false" customHeight="true" outlineLevel="0" collapsed="false">
      <c r="A1" s="48" t="s">
        <v>386</v>
      </c>
      <c r="B1" s="48"/>
      <c r="C1" s="48"/>
      <c r="D1" s="48"/>
      <c r="E1" s="48"/>
      <c r="F1" s="48"/>
      <c r="G1" s="48"/>
      <c r="H1" s="48"/>
      <c r="I1" s="48"/>
      <c r="J1" s="48"/>
    </row>
    <row r="2" customFormat="false" ht="27.75" hidden="false" customHeight="true" outlineLevel="0" collapsed="false">
      <c r="A2" s="49" t="s">
        <v>387</v>
      </c>
      <c r="B2" s="49"/>
      <c r="C2" s="49"/>
      <c r="D2" s="49"/>
      <c r="E2" s="49"/>
      <c r="F2" s="49"/>
      <c r="G2" s="49"/>
      <c r="H2" s="49"/>
      <c r="I2" s="49"/>
      <c r="J2" s="49"/>
    </row>
    <row r="3" customFormat="false" ht="21.75" hidden="false" customHeight="true" outlineLevel="0" collapsed="false">
      <c r="A3" s="50" t="s">
        <v>388</v>
      </c>
      <c r="B3" s="50" t="s">
        <v>389</v>
      </c>
      <c r="C3" s="50" t="s">
        <v>390</v>
      </c>
      <c r="D3" s="50" t="s">
        <v>391</v>
      </c>
      <c r="E3" s="50" t="s">
        <v>392</v>
      </c>
      <c r="F3" s="50" t="s">
        <v>393</v>
      </c>
      <c r="G3" s="50" t="s">
        <v>394</v>
      </c>
      <c r="H3" s="50" t="s">
        <v>395</v>
      </c>
      <c r="I3" s="50" t="s">
        <v>396</v>
      </c>
      <c r="J3" s="50" t="s">
        <v>397</v>
      </c>
    </row>
    <row r="4" customFormat="false" ht="18" hidden="false" customHeight="true" outlineLevel="0" collapsed="false">
      <c r="A4" s="51" t="s">
        <v>398</v>
      </c>
      <c r="B4" s="52" t="s">
        <v>399</v>
      </c>
      <c r="C4" s="52" t="s">
        <v>400</v>
      </c>
      <c r="D4" s="53"/>
      <c r="E4" s="53"/>
      <c r="F4" s="53"/>
      <c r="G4" s="53"/>
      <c r="H4" s="53"/>
      <c r="I4" s="53"/>
      <c r="J4" s="53"/>
    </row>
    <row r="5" customFormat="false" ht="18" hidden="false" customHeight="true" outlineLevel="0" collapsed="false">
      <c r="A5" s="53"/>
      <c r="B5" s="53"/>
      <c r="C5" s="53"/>
      <c r="D5" s="53"/>
      <c r="E5" s="53"/>
      <c r="F5" s="53"/>
      <c r="G5" s="53"/>
      <c r="H5" s="53"/>
      <c r="I5" s="53"/>
      <c r="J5" s="53"/>
    </row>
    <row r="6" customFormat="false" ht="18" hidden="false" customHeight="true" outlineLevel="0" collapsed="false">
      <c r="A6" s="53"/>
      <c r="B6" s="53"/>
      <c r="C6" s="53"/>
      <c r="D6" s="53"/>
      <c r="E6" s="53"/>
      <c r="F6" s="53"/>
      <c r="G6" s="53"/>
      <c r="H6" s="53"/>
      <c r="I6" s="53"/>
      <c r="J6" s="53"/>
    </row>
    <row r="7" customFormat="false" ht="18" hidden="false" customHeight="true" outlineLevel="0" collapsed="false">
      <c r="A7" s="53"/>
      <c r="B7" s="53"/>
      <c r="C7" s="53"/>
      <c r="D7" s="53"/>
      <c r="E7" s="53"/>
      <c r="F7" s="53"/>
      <c r="G7" s="53"/>
      <c r="H7" s="53"/>
      <c r="I7" s="53"/>
      <c r="J7" s="53"/>
    </row>
    <row r="8" customFormat="false" ht="18" hidden="false" customHeight="true" outlineLevel="0" collapsed="false">
      <c r="A8" s="53"/>
      <c r="B8" s="53"/>
      <c r="C8" s="53"/>
      <c r="D8" s="53"/>
      <c r="E8" s="53"/>
      <c r="F8" s="53"/>
      <c r="G8" s="53"/>
      <c r="H8" s="53"/>
      <c r="I8" s="53"/>
      <c r="J8" s="53"/>
    </row>
    <row r="9" customFormat="false" ht="18" hidden="false" customHeight="true" outlineLevel="0" collapsed="false">
      <c r="A9" s="53"/>
      <c r="B9" s="53"/>
      <c r="C9" s="53"/>
      <c r="D9" s="53"/>
      <c r="E9" s="53"/>
      <c r="F9" s="53"/>
      <c r="G9" s="53"/>
      <c r="H9" s="53"/>
      <c r="I9" s="53"/>
      <c r="J9" s="53"/>
    </row>
    <row r="10" customFormat="false" ht="18" hidden="false" customHeight="true" outlineLevel="0" collapsed="false">
      <c r="A10" s="53"/>
      <c r="B10" s="53"/>
      <c r="C10" s="53"/>
      <c r="D10" s="53"/>
      <c r="E10" s="53"/>
      <c r="F10" s="53"/>
      <c r="G10" s="53"/>
      <c r="H10" s="53"/>
      <c r="I10" s="53"/>
      <c r="J10" s="53"/>
    </row>
    <row r="11" customFormat="false" ht="18" hidden="false" customHeight="true" outlineLevel="0" collapsed="false">
      <c r="A11" s="54"/>
      <c r="B11" s="54"/>
      <c r="C11" s="54"/>
      <c r="D11" s="54"/>
      <c r="E11" s="54"/>
      <c r="F11" s="54"/>
      <c r="G11" s="54"/>
      <c r="H11" s="54"/>
      <c r="I11" s="54"/>
      <c r="J11" s="54"/>
    </row>
    <row r="12" customFormat="false" ht="18" hidden="false" customHeight="true" outlineLevel="0" collapsed="false">
      <c r="A12" s="55"/>
      <c r="B12" s="55"/>
      <c r="C12" s="55"/>
      <c r="D12" s="55"/>
      <c r="E12" s="55"/>
      <c r="F12" s="55"/>
      <c r="G12" s="55"/>
      <c r="H12" s="55"/>
      <c r="I12" s="55"/>
      <c r="J12" s="55"/>
    </row>
    <row r="13" customFormat="false" ht="18" hidden="false" customHeight="true" outlineLevel="0" collapsed="false">
      <c r="A13" s="54"/>
      <c r="B13" s="54"/>
      <c r="C13" s="54"/>
      <c r="D13" s="54"/>
      <c r="E13" s="54"/>
      <c r="F13" s="54"/>
      <c r="G13" s="54"/>
      <c r="H13" s="54"/>
      <c r="I13" s="54"/>
      <c r="J13" s="54"/>
    </row>
    <row r="14" customFormat="false" ht="18" hidden="false" customHeight="true" outlineLevel="0" collapsed="false">
      <c r="A14" s="55"/>
      <c r="B14" s="55"/>
      <c r="C14" s="55"/>
      <c r="D14" s="55"/>
      <c r="E14" s="55"/>
      <c r="F14" s="55"/>
      <c r="G14" s="55"/>
      <c r="H14" s="55"/>
      <c r="I14" s="55"/>
      <c r="J14" s="55"/>
    </row>
    <row r="15" customFormat="false" ht="18" hidden="false" customHeight="true" outlineLevel="0" collapsed="false">
      <c r="A15" s="54"/>
      <c r="B15" s="54"/>
      <c r="C15" s="54"/>
      <c r="D15" s="54"/>
      <c r="E15" s="54"/>
      <c r="F15" s="54"/>
      <c r="G15" s="54"/>
      <c r="H15" s="54"/>
      <c r="I15" s="54"/>
      <c r="J15" s="54"/>
    </row>
    <row r="16" customFormat="false" ht="18" hidden="false" customHeight="true" outlineLevel="0" collapsed="false">
      <c r="A16" s="55"/>
      <c r="B16" s="55"/>
      <c r="C16" s="55"/>
      <c r="D16" s="55"/>
      <c r="E16" s="55"/>
      <c r="F16" s="55"/>
      <c r="G16" s="55"/>
      <c r="H16" s="55"/>
      <c r="I16" s="55"/>
      <c r="J16" s="55"/>
    </row>
    <row r="17" customFormat="false" ht="18" hidden="false" customHeight="true" outlineLevel="0" collapsed="false">
      <c r="A17" s="54"/>
      <c r="B17" s="54"/>
      <c r="C17" s="54"/>
      <c r="D17" s="54"/>
      <c r="E17" s="54"/>
      <c r="F17" s="54"/>
      <c r="G17" s="54"/>
      <c r="H17" s="54"/>
      <c r="I17" s="54"/>
      <c r="J17" s="54"/>
    </row>
    <row r="18" customFormat="false" ht="18" hidden="false" customHeight="true" outlineLevel="0" collapsed="false">
      <c r="A18" s="55"/>
      <c r="B18" s="55"/>
      <c r="C18" s="55"/>
      <c r="D18" s="55"/>
      <c r="E18" s="55"/>
      <c r="F18" s="55"/>
      <c r="G18" s="55"/>
      <c r="H18" s="55"/>
      <c r="I18" s="55"/>
      <c r="J18" s="55"/>
    </row>
    <row r="19" customFormat="false" ht="18" hidden="false" customHeight="true" outlineLevel="0" collapsed="false">
      <c r="A19" s="54"/>
      <c r="B19" s="54"/>
      <c r="C19" s="54"/>
      <c r="D19" s="54"/>
      <c r="E19" s="54"/>
      <c r="F19" s="54"/>
      <c r="G19" s="54"/>
      <c r="H19" s="54"/>
      <c r="I19" s="54"/>
      <c r="J19" s="54"/>
    </row>
    <row r="20" customFormat="false" ht="18" hidden="false" customHeight="true" outlineLevel="0" collapsed="false">
      <c r="A20" s="55"/>
      <c r="B20" s="55"/>
      <c r="C20" s="55"/>
      <c r="D20" s="55"/>
      <c r="E20" s="55"/>
      <c r="F20" s="55"/>
      <c r="G20" s="55"/>
      <c r="H20" s="55"/>
      <c r="I20" s="55"/>
      <c r="J20" s="55"/>
    </row>
    <row r="21" customFormat="false" ht="18" hidden="false" customHeight="true" outlineLevel="0" collapsed="false">
      <c r="A21" s="54"/>
      <c r="B21" s="54"/>
      <c r="C21" s="54"/>
      <c r="D21" s="54"/>
      <c r="E21" s="54"/>
      <c r="F21" s="54"/>
      <c r="G21" s="54"/>
      <c r="H21" s="54"/>
      <c r="I21" s="54"/>
      <c r="J21" s="54"/>
    </row>
    <row r="22" customFormat="false" ht="18" hidden="false" customHeight="true" outlineLevel="0" collapsed="false">
      <c r="A22" s="55"/>
      <c r="B22" s="55"/>
      <c r="C22" s="55"/>
      <c r="D22" s="55"/>
      <c r="E22" s="55"/>
      <c r="F22" s="55"/>
      <c r="G22" s="55"/>
      <c r="H22" s="55"/>
      <c r="I22" s="55"/>
      <c r="J22" s="55"/>
    </row>
    <row r="23" customFormat="false" ht="18" hidden="false" customHeight="true" outlineLevel="0" collapsed="false">
      <c r="A23" s="54"/>
      <c r="B23" s="54"/>
      <c r="C23" s="54"/>
      <c r="D23" s="54"/>
      <c r="E23" s="54"/>
      <c r="F23" s="54"/>
      <c r="G23" s="54"/>
      <c r="H23" s="54"/>
      <c r="I23" s="54"/>
      <c r="J23" s="54"/>
    </row>
    <row r="24" customFormat="false" ht="18" hidden="false" customHeight="true" outlineLevel="0" collapsed="false">
      <c r="A24" s="55"/>
      <c r="B24" s="55"/>
      <c r="C24" s="55"/>
      <c r="D24" s="55"/>
      <c r="E24" s="55"/>
      <c r="F24" s="55"/>
      <c r="G24" s="55"/>
      <c r="H24" s="55"/>
      <c r="I24" s="55"/>
      <c r="J24" s="55"/>
    </row>
    <row r="25" customFormat="false" ht="18" hidden="false" customHeight="true" outlineLevel="0" collapsed="false">
      <c r="A25" s="54"/>
      <c r="B25" s="54"/>
      <c r="C25" s="54"/>
      <c r="D25" s="54"/>
      <c r="E25" s="54"/>
      <c r="F25" s="54"/>
      <c r="G25" s="54"/>
      <c r="H25" s="54"/>
      <c r="I25" s="54"/>
      <c r="J25" s="54"/>
    </row>
    <row r="26" customFormat="false" ht="18" hidden="false" customHeight="true" outlineLevel="0" collapsed="false">
      <c r="A26" s="55"/>
      <c r="B26" s="55"/>
      <c r="C26" s="55"/>
      <c r="D26" s="55"/>
      <c r="E26" s="55"/>
      <c r="F26" s="55"/>
      <c r="G26" s="55"/>
      <c r="H26" s="55"/>
      <c r="I26" s="55"/>
      <c r="J26" s="55"/>
    </row>
    <row r="27" customFormat="false" ht="18" hidden="false" customHeight="true" outlineLevel="0" collapsed="false">
      <c r="A27" s="54"/>
      <c r="B27" s="54"/>
      <c r="C27" s="54"/>
      <c r="D27" s="54"/>
      <c r="E27" s="54"/>
      <c r="F27" s="54"/>
      <c r="G27" s="54"/>
      <c r="H27" s="54"/>
      <c r="I27" s="54"/>
      <c r="J27" s="54"/>
    </row>
    <row r="28" customFormat="false" ht="18" hidden="false" customHeight="true" outlineLevel="0" collapsed="false">
      <c r="A28" s="55"/>
      <c r="B28" s="55"/>
      <c r="C28" s="55"/>
      <c r="D28" s="55"/>
      <c r="E28" s="55"/>
      <c r="F28" s="55"/>
      <c r="G28" s="55"/>
      <c r="H28" s="55"/>
      <c r="I28" s="55"/>
      <c r="J28" s="55"/>
    </row>
    <row r="29" customFormat="false" ht="18" hidden="false" customHeight="true" outlineLevel="0" collapsed="false">
      <c r="A29" s="54"/>
      <c r="B29" s="54"/>
      <c r="C29" s="54"/>
      <c r="D29" s="54"/>
      <c r="E29" s="54"/>
      <c r="F29" s="54"/>
      <c r="G29" s="54"/>
      <c r="H29" s="54"/>
      <c r="I29" s="54"/>
      <c r="J29" s="54"/>
    </row>
    <row r="30" customFormat="false" ht="18" hidden="false" customHeight="true" outlineLevel="0" collapsed="false">
      <c r="A30" s="55"/>
      <c r="B30" s="55"/>
      <c r="C30" s="55"/>
      <c r="D30" s="55"/>
      <c r="E30" s="55"/>
      <c r="F30" s="55"/>
      <c r="G30" s="55"/>
      <c r="H30" s="55"/>
      <c r="I30" s="55"/>
      <c r="J30" s="55"/>
    </row>
    <row r="31" customFormat="false" ht="18" hidden="false" customHeight="true" outlineLevel="0" collapsed="false">
      <c r="A31" s="54"/>
      <c r="B31" s="54"/>
      <c r="C31" s="54"/>
      <c r="D31" s="54"/>
      <c r="E31" s="54"/>
      <c r="F31" s="54"/>
      <c r="G31" s="54"/>
      <c r="H31" s="54"/>
      <c r="I31" s="54"/>
      <c r="J31" s="54"/>
    </row>
    <row r="32" customFormat="false" ht="18" hidden="false" customHeight="true" outlineLevel="0" collapsed="false">
      <c r="A32" s="55"/>
      <c r="B32" s="55"/>
      <c r="C32" s="55"/>
      <c r="D32" s="55"/>
      <c r="E32" s="55"/>
      <c r="F32" s="55"/>
      <c r="G32" s="55"/>
      <c r="H32" s="55"/>
      <c r="I32" s="55"/>
      <c r="J32" s="55"/>
    </row>
    <row r="33" customFormat="false" ht="18" hidden="false" customHeight="true" outlineLevel="0" collapsed="false">
      <c r="A33" s="54"/>
      <c r="B33" s="54"/>
      <c r="C33" s="54"/>
      <c r="D33" s="54"/>
      <c r="E33" s="54"/>
      <c r="F33" s="54"/>
      <c r="G33" s="54"/>
      <c r="H33" s="54"/>
      <c r="I33" s="54"/>
      <c r="J33" s="54"/>
    </row>
    <row r="34" customFormat="false" ht="18" hidden="false" customHeight="true" outlineLevel="0" collapsed="false">
      <c r="A34" s="55"/>
      <c r="B34" s="55"/>
      <c r="C34" s="55"/>
      <c r="D34" s="55"/>
      <c r="E34" s="55"/>
      <c r="F34" s="55"/>
      <c r="G34" s="55"/>
      <c r="H34" s="55"/>
      <c r="I34" s="55"/>
      <c r="J34" s="55"/>
    </row>
    <row r="35" customFormat="false" ht="18" hidden="false" customHeight="true" outlineLevel="0" collapsed="false">
      <c r="A35" s="54"/>
      <c r="B35" s="54"/>
      <c r="C35" s="54"/>
      <c r="D35" s="54"/>
      <c r="E35" s="54"/>
      <c r="F35" s="54"/>
      <c r="G35" s="54"/>
      <c r="H35" s="54"/>
      <c r="I35" s="54"/>
      <c r="J35" s="54"/>
    </row>
    <row r="36" customFormat="false" ht="18" hidden="false" customHeight="true" outlineLevel="0" collapsed="false">
      <c r="A36" s="55"/>
      <c r="B36" s="55"/>
      <c r="C36" s="55"/>
      <c r="D36" s="55"/>
      <c r="E36" s="55"/>
      <c r="F36" s="55"/>
      <c r="G36" s="55"/>
      <c r="H36" s="55"/>
      <c r="I36" s="55"/>
      <c r="J36" s="55"/>
    </row>
    <row r="37" customFormat="false" ht="18" hidden="false" customHeight="true" outlineLevel="0" collapsed="false">
      <c r="A37" s="54"/>
      <c r="B37" s="54"/>
      <c r="C37" s="54"/>
      <c r="D37" s="54"/>
      <c r="E37" s="54"/>
      <c r="F37" s="54"/>
      <c r="G37" s="54"/>
      <c r="H37" s="54"/>
      <c r="I37" s="54"/>
      <c r="J37" s="54"/>
    </row>
    <row r="38" customFormat="false" ht="18" hidden="false" customHeight="true" outlineLevel="0" collapsed="false">
      <c r="A38" s="55"/>
      <c r="B38" s="55"/>
      <c r="C38" s="55"/>
      <c r="D38" s="55"/>
      <c r="E38" s="55"/>
      <c r="F38" s="55"/>
      <c r="G38" s="55"/>
      <c r="H38" s="55"/>
      <c r="I38" s="55"/>
      <c r="J38" s="55"/>
    </row>
    <row r="39" customFormat="false" ht="18" hidden="false" customHeight="true" outlineLevel="0" collapsed="false">
      <c r="A39" s="54"/>
      <c r="B39" s="54"/>
      <c r="C39" s="54"/>
      <c r="D39" s="54"/>
      <c r="E39" s="54"/>
      <c r="F39" s="54"/>
      <c r="G39" s="54"/>
      <c r="H39" s="54"/>
      <c r="I39" s="54"/>
      <c r="J39" s="54"/>
    </row>
    <row r="40" customFormat="false" ht="18" hidden="false" customHeight="true" outlineLevel="0" collapsed="false">
      <c r="A40" s="55"/>
      <c r="B40" s="55"/>
      <c r="C40" s="55"/>
      <c r="D40" s="55"/>
      <c r="E40" s="55"/>
      <c r="F40" s="55"/>
      <c r="G40" s="55"/>
      <c r="H40" s="55"/>
      <c r="I40" s="55"/>
      <c r="J40" s="55"/>
    </row>
    <row r="41" customFormat="false" ht="18" hidden="false" customHeight="true" outlineLevel="0" collapsed="false">
      <c r="A41" s="54"/>
      <c r="B41" s="54"/>
      <c r="C41" s="54"/>
      <c r="D41" s="54"/>
      <c r="E41" s="54"/>
      <c r="F41" s="54"/>
      <c r="G41" s="54"/>
      <c r="H41" s="54"/>
      <c r="I41" s="54"/>
      <c r="J41" s="54"/>
    </row>
    <row r="42" customFormat="false" ht="18" hidden="false" customHeight="true" outlineLevel="0" collapsed="false">
      <c r="A42" s="55"/>
      <c r="B42" s="55"/>
      <c r="C42" s="55"/>
      <c r="D42" s="55"/>
      <c r="E42" s="55"/>
      <c r="F42" s="55"/>
      <c r="G42" s="55"/>
      <c r="H42" s="55"/>
      <c r="I42" s="55"/>
      <c r="J42" s="55"/>
    </row>
    <row r="43" customFormat="false" ht="18" hidden="false" customHeight="true" outlineLevel="0" collapsed="false">
      <c r="A43" s="54"/>
      <c r="B43" s="54"/>
      <c r="C43" s="54"/>
      <c r="D43" s="54"/>
      <c r="E43" s="54"/>
      <c r="F43" s="54"/>
      <c r="G43" s="54"/>
      <c r="H43" s="54"/>
      <c r="I43" s="54"/>
      <c r="J43" s="54"/>
    </row>
    <row r="44" customFormat="false" ht="18" hidden="false" customHeight="true" outlineLevel="0" collapsed="false">
      <c r="A44" s="55"/>
      <c r="B44" s="55"/>
      <c r="C44" s="55"/>
      <c r="D44" s="55"/>
      <c r="E44" s="55"/>
      <c r="F44" s="55"/>
      <c r="G44" s="55"/>
      <c r="H44" s="55"/>
      <c r="I44" s="55"/>
      <c r="J44" s="55"/>
    </row>
    <row r="45" customFormat="false" ht="18" hidden="false" customHeight="true" outlineLevel="0" collapsed="false">
      <c r="A45" s="54"/>
      <c r="B45" s="54"/>
      <c r="C45" s="54"/>
      <c r="D45" s="54"/>
      <c r="E45" s="54"/>
      <c r="F45" s="54"/>
      <c r="G45" s="54"/>
      <c r="H45" s="54"/>
      <c r="I45" s="54"/>
      <c r="J45" s="54"/>
    </row>
    <row r="46" customFormat="false" ht="18" hidden="false" customHeight="true" outlineLevel="0" collapsed="false">
      <c r="A46" s="55"/>
      <c r="B46" s="55"/>
      <c r="C46" s="55"/>
      <c r="D46" s="55"/>
      <c r="E46" s="55"/>
      <c r="F46" s="55"/>
      <c r="G46" s="55"/>
      <c r="H46" s="55"/>
      <c r="I46" s="55"/>
      <c r="J46" s="55"/>
    </row>
    <row r="47" customFormat="false" ht="18" hidden="false" customHeight="true" outlineLevel="0" collapsed="false">
      <c r="A47" s="54"/>
      <c r="B47" s="54"/>
      <c r="C47" s="54"/>
      <c r="D47" s="54"/>
      <c r="E47" s="54"/>
      <c r="F47" s="54"/>
      <c r="G47" s="54"/>
      <c r="H47" s="54"/>
      <c r="I47" s="54"/>
      <c r="J47" s="54"/>
    </row>
    <row r="48" customFormat="false" ht="18" hidden="false" customHeight="true" outlineLevel="0" collapsed="false">
      <c r="A48" s="55"/>
      <c r="B48" s="55"/>
      <c r="C48" s="55"/>
      <c r="D48" s="55"/>
      <c r="E48" s="55"/>
      <c r="F48" s="55"/>
      <c r="G48" s="55"/>
      <c r="H48" s="55"/>
      <c r="I48" s="55"/>
      <c r="J48" s="55"/>
    </row>
    <row r="49" customFormat="false" ht="18" hidden="false" customHeight="true" outlineLevel="0" collapsed="false">
      <c r="A49" s="54"/>
      <c r="B49" s="54"/>
      <c r="C49" s="54"/>
      <c r="D49" s="54"/>
      <c r="E49" s="54"/>
      <c r="F49" s="54"/>
      <c r="G49" s="54"/>
      <c r="H49" s="54"/>
      <c r="I49" s="54"/>
      <c r="J49" s="54"/>
    </row>
    <row r="50" customFormat="false" ht="18" hidden="false" customHeight="true" outlineLevel="0" collapsed="false">
      <c r="A50" s="55"/>
      <c r="B50" s="55"/>
      <c r="C50" s="55"/>
      <c r="D50" s="55"/>
      <c r="E50" s="55"/>
      <c r="F50" s="55"/>
      <c r="G50" s="55"/>
      <c r="H50" s="55"/>
      <c r="I50" s="55"/>
      <c r="J50" s="55"/>
    </row>
    <row r="51" customFormat="false" ht="18" hidden="false" customHeight="true" outlineLevel="0" collapsed="false">
      <c r="A51" s="54"/>
      <c r="B51" s="54"/>
      <c r="C51" s="54"/>
      <c r="D51" s="54"/>
      <c r="E51" s="54"/>
      <c r="F51" s="54"/>
      <c r="G51" s="54"/>
      <c r="H51" s="54"/>
      <c r="I51" s="54"/>
      <c r="J51" s="54"/>
    </row>
    <row r="52" customFormat="false" ht="18" hidden="false" customHeight="true" outlineLevel="0" collapsed="false">
      <c r="A52" s="55"/>
      <c r="B52" s="55"/>
      <c r="C52" s="55"/>
      <c r="D52" s="55"/>
      <c r="E52" s="55"/>
      <c r="F52" s="55"/>
      <c r="G52" s="55"/>
      <c r="H52" s="55"/>
      <c r="I52" s="55"/>
      <c r="J52" s="55"/>
    </row>
    <row r="53" customFormat="false" ht="18" hidden="false" customHeight="true" outlineLevel="0" collapsed="false">
      <c r="A53" s="54"/>
      <c r="B53" s="54"/>
      <c r="C53" s="54"/>
      <c r="D53" s="54"/>
      <c r="E53" s="54"/>
      <c r="F53" s="54"/>
      <c r="G53" s="54"/>
      <c r="H53" s="54"/>
      <c r="I53" s="54"/>
      <c r="J53" s="54"/>
    </row>
    <row r="54" customFormat="false" ht="18" hidden="false" customHeight="true" outlineLevel="0" collapsed="false">
      <c r="A54" s="55"/>
      <c r="B54" s="55"/>
      <c r="C54" s="55"/>
      <c r="D54" s="55"/>
      <c r="E54" s="55"/>
      <c r="F54" s="55"/>
      <c r="G54" s="55"/>
      <c r="H54" s="55"/>
      <c r="I54" s="55"/>
      <c r="J54" s="55"/>
    </row>
    <row r="55" customFormat="false" ht="18" hidden="false" customHeight="true" outlineLevel="0" collapsed="false">
      <c r="A55" s="54"/>
      <c r="B55" s="54"/>
      <c r="C55" s="54"/>
      <c r="D55" s="54"/>
      <c r="E55" s="54"/>
      <c r="F55" s="54"/>
      <c r="G55" s="54"/>
      <c r="H55" s="54"/>
      <c r="I55" s="54"/>
      <c r="J55" s="54"/>
    </row>
    <row r="56" customFormat="false" ht="18" hidden="false" customHeight="true" outlineLevel="0" collapsed="false">
      <c r="A56" s="55"/>
      <c r="B56" s="55"/>
      <c r="C56" s="55"/>
      <c r="D56" s="55"/>
      <c r="E56" s="55"/>
      <c r="F56" s="55"/>
      <c r="G56" s="55"/>
      <c r="H56" s="55"/>
      <c r="I56" s="55"/>
      <c r="J56" s="55"/>
    </row>
    <row r="57" customFormat="false" ht="18" hidden="false" customHeight="true" outlineLevel="0" collapsed="false">
      <c r="A57" s="54"/>
      <c r="B57" s="54"/>
      <c r="C57" s="54"/>
      <c r="D57" s="54"/>
      <c r="E57" s="54"/>
      <c r="F57" s="54"/>
      <c r="G57" s="54"/>
      <c r="H57" s="54"/>
      <c r="I57" s="54"/>
      <c r="J57" s="54"/>
    </row>
    <row r="58" customFormat="false" ht="18" hidden="false" customHeight="true" outlineLevel="0" collapsed="false">
      <c r="A58" s="55"/>
      <c r="B58" s="55"/>
      <c r="C58" s="55"/>
      <c r="D58" s="55"/>
      <c r="E58" s="55"/>
      <c r="F58" s="55"/>
      <c r="G58" s="55"/>
      <c r="H58" s="55"/>
      <c r="I58" s="55"/>
      <c r="J58" s="55"/>
    </row>
    <row r="59" customFormat="false" ht="18" hidden="false" customHeight="true" outlineLevel="0" collapsed="false">
      <c r="A59" s="54"/>
      <c r="B59" s="54"/>
      <c r="C59" s="54"/>
      <c r="D59" s="54"/>
      <c r="E59" s="54"/>
      <c r="F59" s="54"/>
      <c r="G59" s="54"/>
      <c r="H59" s="54"/>
      <c r="I59" s="54"/>
      <c r="J59" s="54"/>
    </row>
    <row r="60" customFormat="false" ht="18" hidden="false" customHeight="true" outlineLevel="0" collapsed="false">
      <c r="A60" s="55"/>
      <c r="B60" s="55"/>
      <c r="C60" s="55"/>
      <c r="D60" s="55"/>
      <c r="E60" s="55"/>
      <c r="F60" s="55"/>
      <c r="G60" s="55"/>
      <c r="H60" s="55"/>
      <c r="I60" s="55"/>
      <c r="J60" s="55"/>
    </row>
    <row r="61" customFormat="false" ht="18" hidden="false" customHeight="true" outlineLevel="0" collapsed="false">
      <c r="A61" s="54"/>
      <c r="B61" s="54"/>
      <c r="C61" s="54"/>
      <c r="D61" s="54"/>
      <c r="E61" s="54"/>
      <c r="F61" s="54"/>
      <c r="G61" s="54"/>
      <c r="H61" s="54"/>
      <c r="I61" s="54"/>
      <c r="J61" s="54"/>
    </row>
    <row r="62" customFormat="false" ht="18" hidden="false" customHeight="true" outlineLevel="0" collapsed="false">
      <c r="A62" s="55"/>
      <c r="B62" s="55"/>
      <c r="C62" s="55"/>
      <c r="D62" s="55"/>
      <c r="E62" s="55"/>
      <c r="F62" s="55"/>
      <c r="G62" s="55"/>
      <c r="H62" s="55"/>
      <c r="I62" s="55"/>
      <c r="J62" s="55"/>
    </row>
    <row r="63" customFormat="false" ht="18" hidden="false" customHeight="true" outlineLevel="0" collapsed="false">
      <c r="A63" s="54"/>
      <c r="B63" s="54"/>
      <c r="C63" s="54"/>
      <c r="D63" s="54"/>
      <c r="E63" s="54"/>
      <c r="F63" s="54"/>
      <c r="G63" s="54"/>
      <c r="H63" s="54"/>
      <c r="I63" s="54"/>
      <c r="J63" s="54"/>
    </row>
    <row r="64" customFormat="false" ht="18" hidden="false" customHeight="true" outlineLevel="0" collapsed="false">
      <c r="A64" s="55"/>
      <c r="B64" s="55"/>
      <c r="C64" s="55"/>
      <c r="D64" s="55"/>
      <c r="E64" s="55"/>
      <c r="F64" s="55"/>
      <c r="G64" s="55"/>
      <c r="H64" s="55"/>
      <c r="I64" s="55"/>
      <c r="J64" s="55"/>
    </row>
    <row r="65" customFormat="false" ht="18" hidden="false" customHeight="true" outlineLevel="0" collapsed="false">
      <c r="A65" s="54"/>
      <c r="B65" s="54"/>
      <c r="C65" s="54"/>
      <c r="D65" s="54"/>
      <c r="E65" s="54"/>
      <c r="F65" s="54"/>
      <c r="G65" s="54"/>
      <c r="H65" s="54"/>
      <c r="I65" s="54"/>
      <c r="J65" s="54"/>
    </row>
    <row r="66" customFormat="false" ht="18" hidden="false" customHeight="true" outlineLevel="0" collapsed="false">
      <c r="A66" s="55"/>
      <c r="B66" s="55"/>
      <c r="C66" s="55"/>
      <c r="D66" s="55"/>
      <c r="E66" s="55"/>
      <c r="F66" s="55"/>
      <c r="G66" s="55"/>
      <c r="H66" s="55"/>
      <c r="I66" s="55"/>
      <c r="J66" s="55"/>
    </row>
    <row r="67" customFormat="false" ht="18" hidden="false" customHeight="true" outlineLevel="0" collapsed="false">
      <c r="A67" s="54"/>
      <c r="B67" s="54"/>
      <c r="C67" s="54"/>
      <c r="D67" s="54"/>
      <c r="E67" s="54"/>
      <c r="F67" s="54"/>
      <c r="G67" s="54"/>
      <c r="H67" s="54"/>
      <c r="I67" s="54"/>
      <c r="J67" s="54"/>
    </row>
    <row r="68" customFormat="false" ht="18" hidden="false" customHeight="true" outlineLevel="0" collapsed="false">
      <c r="A68" s="55"/>
      <c r="B68" s="55"/>
      <c r="C68" s="55"/>
      <c r="D68" s="55"/>
      <c r="E68" s="55"/>
      <c r="F68" s="55"/>
      <c r="G68" s="55"/>
      <c r="H68" s="55"/>
      <c r="I68" s="55"/>
      <c r="J68" s="55"/>
    </row>
    <row r="69" customFormat="false" ht="18" hidden="false" customHeight="true" outlineLevel="0" collapsed="false">
      <c r="A69" s="54"/>
      <c r="B69" s="54"/>
      <c r="C69" s="54"/>
      <c r="D69" s="54"/>
      <c r="E69" s="54"/>
      <c r="F69" s="54"/>
      <c r="G69" s="54"/>
      <c r="H69" s="54"/>
      <c r="I69" s="54"/>
      <c r="J69" s="54"/>
    </row>
    <row r="70" customFormat="false" ht="18" hidden="false" customHeight="true" outlineLevel="0" collapsed="false">
      <c r="A70" s="55"/>
      <c r="B70" s="55"/>
      <c r="C70" s="55"/>
      <c r="D70" s="55"/>
      <c r="E70" s="55"/>
      <c r="F70" s="55"/>
      <c r="G70" s="55"/>
      <c r="H70" s="55"/>
      <c r="I70" s="55"/>
      <c r="J70" s="55"/>
    </row>
    <row r="71" customFormat="false" ht="18" hidden="false" customHeight="true" outlineLevel="0" collapsed="false">
      <c r="A71" s="54"/>
      <c r="B71" s="54"/>
      <c r="C71" s="54"/>
      <c r="D71" s="54"/>
      <c r="E71" s="54"/>
      <c r="F71" s="54"/>
      <c r="G71" s="54"/>
      <c r="H71" s="54"/>
      <c r="I71" s="54"/>
      <c r="J71" s="54"/>
    </row>
    <row r="72" customFormat="false" ht="18" hidden="false" customHeight="true" outlineLevel="0" collapsed="false">
      <c r="A72" s="55"/>
      <c r="B72" s="55"/>
      <c r="C72" s="55"/>
      <c r="D72" s="55"/>
      <c r="E72" s="55"/>
      <c r="F72" s="55"/>
      <c r="G72" s="55"/>
      <c r="H72" s="55"/>
      <c r="I72" s="55"/>
      <c r="J72" s="55"/>
    </row>
    <row r="73" customFormat="false" ht="18" hidden="false" customHeight="true" outlineLevel="0" collapsed="false">
      <c r="A73" s="54"/>
      <c r="B73" s="54"/>
      <c r="C73" s="54"/>
      <c r="D73" s="54"/>
      <c r="E73" s="54"/>
      <c r="F73" s="54"/>
      <c r="G73" s="54"/>
      <c r="H73" s="54"/>
      <c r="I73" s="54"/>
      <c r="J73" s="54"/>
    </row>
    <row r="74" customFormat="false" ht="18" hidden="false" customHeight="true" outlineLevel="0" collapsed="false">
      <c r="A74" s="55"/>
      <c r="B74" s="55"/>
      <c r="C74" s="55"/>
      <c r="D74" s="55"/>
      <c r="E74" s="55"/>
      <c r="F74" s="55"/>
      <c r="G74" s="55"/>
      <c r="H74" s="55"/>
      <c r="I74" s="55"/>
      <c r="J74" s="55"/>
    </row>
    <row r="75" customFormat="false" ht="18" hidden="false" customHeight="true" outlineLevel="0" collapsed="false">
      <c r="A75" s="54"/>
      <c r="B75" s="54"/>
      <c r="C75" s="54"/>
      <c r="D75" s="54"/>
      <c r="E75" s="54"/>
      <c r="F75" s="54"/>
      <c r="G75" s="54"/>
      <c r="H75" s="54"/>
      <c r="I75" s="54"/>
      <c r="J75" s="54"/>
    </row>
    <row r="76" customFormat="false" ht="18" hidden="false" customHeight="true" outlineLevel="0" collapsed="false">
      <c r="A76" s="55"/>
      <c r="B76" s="55"/>
      <c r="C76" s="55"/>
      <c r="D76" s="55"/>
      <c r="E76" s="55"/>
      <c r="F76" s="55"/>
      <c r="G76" s="55"/>
      <c r="H76" s="55"/>
      <c r="I76" s="55"/>
      <c r="J76" s="55"/>
    </row>
    <row r="77" customFormat="false" ht="18" hidden="false" customHeight="true" outlineLevel="0" collapsed="false">
      <c r="A77" s="54"/>
      <c r="B77" s="54"/>
      <c r="C77" s="54"/>
      <c r="D77" s="54"/>
      <c r="E77" s="54"/>
      <c r="F77" s="54"/>
      <c r="G77" s="54"/>
      <c r="H77" s="54"/>
      <c r="I77" s="54"/>
      <c r="J77" s="54"/>
    </row>
    <row r="78" customFormat="false" ht="18" hidden="false" customHeight="true" outlineLevel="0" collapsed="false">
      <c r="A78" s="55"/>
      <c r="B78" s="55"/>
      <c r="C78" s="55"/>
      <c r="D78" s="55"/>
      <c r="E78" s="55"/>
      <c r="F78" s="55"/>
      <c r="G78" s="55"/>
      <c r="H78" s="55"/>
      <c r="I78" s="55"/>
      <c r="J78" s="55"/>
    </row>
    <row r="79" customFormat="false" ht="18" hidden="false" customHeight="true" outlineLevel="0" collapsed="false">
      <c r="A79" s="54"/>
      <c r="B79" s="54"/>
      <c r="C79" s="54"/>
      <c r="D79" s="54"/>
      <c r="E79" s="54"/>
      <c r="F79" s="54"/>
      <c r="G79" s="54"/>
      <c r="H79" s="54"/>
      <c r="I79" s="54"/>
      <c r="J79" s="54"/>
    </row>
    <row r="80" customFormat="false" ht="18" hidden="false" customHeight="true" outlineLevel="0" collapsed="false">
      <c r="A80" s="55"/>
      <c r="B80" s="55"/>
      <c r="C80" s="55"/>
      <c r="D80" s="55"/>
      <c r="E80" s="55"/>
      <c r="F80" s="55"/>
      <c r="G80" s="55"/>
      <c r="H80" s="55"/>
      <c r="I80" s="55"/>
      <c r="J80" s="55"/>
    </row>
    <row r="81" customFormat="false" ht="18" hidden="false" customHeight="true" outlineLevel="0" collapsed="false">
      <c r="A81" s="54"/>
      <c r="B81" s="54"/>
      <c r="C81" s="54"/>
      <c r="D81" s="54"/>
      <c r="E81" s="54"/>
      <c r="F81" s="54"/>
      <c r="G81" s="54"/>
      <c r="H81" s="54"/>
      <c r="I81" s="54"/>
      <c r="J81" s="54"/>
    </row>
    <row r="82" customFormat="false" ht="18" hidden="false" customHeight="true" outlineLevel="0" collapsed="false">
      <c r="A82" s="55"/>
      <c r="B82" s="55"/>
      <c r="C82" s="55"/>
      <c r="D82" s="55"/>
      <c r="E82" s="55"/>
      <c r="F82" s="55"/>
      <c r="G82" s="55"/>
      <c r="H82" s="55"/>
      <c r="I82" s="55"/>
      <c r="J82" s="55"/>
    </row>
    <row r="83" customFormat="false" ht="18" hidden="false" customHeight="true" outlineLevel="0" collapsed="false">
      <c r="A83" s="54"/>
      <c r="B83" s="54"/>
      <c r="C83" s="54"/>
      <c r="D83" s="54"/>
      <c r="E83" s="54"/>
      <c r="F83" s="54"/>
      <c r="G83" s="54"/>
      <c r="H83" s="54"/>
      <c r="I83" s="54"/>
      <c r="J83" s="54"/>
    </row>
    <row r="84" customFormat="false" ht="18" hidden="false" customHeight="true" outlineLevel="0" collapsed="false">
      <c r="A84" s="55"/>
      <c r="B84" s="55"/>
      <c r="C84" s="55"/>
      <c r="D84" s="55"/>
      <c r="E84" s="55"/>
      <c r="F84" s="55"/>
      <c r="G84" s="55"/>
      <c r="H84" s="55"/>
      <c r="I84" s="55"/>
      <c r="J84" s="55"/>
    </row>
    <row r="85" customFormat="false" ht="18" hidden="false" customHeight="true" outlineLevel="0" collapsed="false">
      <c r="A85" s="54"/>
      <c r="B85" s="54"/>
      <c r="C85" s="54"/>
      <c r="D85" s="54"/>
      <c r="E85" s="54"/>
      <c r="F85" s="54"/>
      <c r="G85" s="54"/>
      <c r="H85" s="54"/>
      <c r="I85" s="54"/>
      <c r="J85" s="54"/>
    </row>
    <row r="86" customFormat="false" ht="18" hidden="false" customHeight="true" outlineLevel="0" collapsed="false">
      <c r="A86" s="55"/>
      <c r="B86" s="55"/>
      <c r="C86" s="55"/>
      <c r="D86" s="55"/>
      <c r="E86" s="55"/>
      <c r="F86" s="55"/>
      <c r="G86" s="55"/>
      <c r="H86" s="55"/>
      <c r="I86" s="55"/>
      <c r="J86" s="55"/>
    </row>
    <row r="87" customFormat="false" ht="18" hidden="false" customHeight="true" outlineLevel="0" collapsed="false">
      <c r="A87" s="54"/>
      <c r="B87" s="54"/>
      <c r="C87" s="54"/>
      <c r="D87" s="54"/>
      <c r="E87" s="54"/>
      <c r="F87" s="54"/>
      <c r="G87" s="54"/>
      <c r="H87" s="54"/>
      <c r="I87" s="54"/>
      <c r="J87" s="54"/>
    </row>
    <row r="88" customFormat="false" ht="18" hidden="false" customHeight="true" outlineLevel="0" collapsed="false">
      <c r="A88" s="55"/>
      <c r="B88" s="55"/>
      <c r="C88" s="55"/>
      <c r="D88" s="55"/>
      <c r="E88" s="55"/>
      <c r="F88" s="55"/>
      <c r="G88" s="55"/>
      <c r="H88" s="55"/>
      <c r="I88" s="55"/>
      <c r="J88" s="55"/>
    </row>
    <row r="89" customFormat="false" ht="18" hidden="false" customHeight="true" outlineLevel="0" collapsed="false">
      <c r="A89" s="54"/>
      <c r="B89" s="54"/>
      <c r="C89" s="54"/>
      <c r="D89" s="54"/>
      <c r="E89" s="54"/>
      <c r="F89" s="54"/>
      <c r="G89" s="54"/>
      <c r="H89" s="54"/>
      <c r="I89" s="54"/>
      <c r="J89" s="54"/>
    </row>
    <row r="90" customFormat="false" ht="18" hidden="false" customHeight="true" outlineLevel="0" collapsed="false">
      <c r="A90" s="55"/>
      <c r="B90" s="55"/>
      <c r="C90" s="55"/>
      <c r="D90" s="55"/>
      <c r="E90" s="55"/>
      <c r="F90" s="55"/>
      <c r="G90" s="55"/>
      <c r="H90" s="55"/>
      <c r="I90" s="55"/>
      <c r="J90" s="55"/>
    </row>
    <row r="91" customFormat="false" ht="18" hidden="false" customHeight="true" outlineLevel="0" collapsed="false">
      <c r="A91" s="54"/>
      <c r="B91" s="54"/>
      <c r="C91" s="54"/>
      <c r="D91" s="54"/>
      <c r="E91" s="54"/>
      <c r="F91" s="54"/>
      <c r="G91" s="54"/>
      <c r="H91" s="54"/>
      <c r="I91" s="54"/>
      <c r="J91" s="54"/>
    </row>
    <row r="92" customFormat="false" ht="18" hidden="false" customHeight="true" outlineLevel="0" collapsed="false">
      <c r="A92" s="55"/>
      <c r="B92" s="55"/>
      <c r="C92" s="55"/>
      <c r="D92" s="55"/>
      <c r="E92" s="55"/>
      <c r="F92" s="55"/>
      <c r="G92" s="55"/>
      <c r="H92" s="55"/>
      <c r="I92" s="55"/>
      <c r="J92" s="55"/>
    </row>
    <row r="93" customFormat="false" ht="18" hidden="false" customHeight="true" outlineLevel="0" collapsed="false">
      <c r="A93" s="54"/>
      <c r="B93" s="54"/>
      <c r="C93" s="54"/>
      <c r="D93" s="54"/>
      <c r="E93" s="54"/>
      <c r="F93" s="54"/>
      <c r="G93" s="54"/>
      <c r="H93" s="54"/>
      <c r="I93" s="54"/>
      <c r="J93" s="54"/>
    </row>
    <row r="94" customFormat="false" ht="18" hidden="false" customHeight="true" outlineLevel="0" collapsed="false">
      <c r="A94" s="55"/>
      <c r="B94" s="55"/>
      <c r="C94" s="55"/>
      <c r="D94" s="55"/>
      <c r="E94" s="55"/>
      <c r="F94" s="55"/>
      <c r="G94" s="55"/>
      <c r="H94" s="55"/>
      <c r="I94" s="55"/>
      <c r="J94" s="55"/>
    </row>
    <row r="95" customFormat="false" ht="18" hidden="false" customHeight="true" outlineLevel="0" collapsed="false">
      <c r="A95" s="54"/>
      <c r="B95" s="54"/>
      <c r="C95" s="54"/>
      <c r="D95" s="54"/>
      <c r="E95" s="54"/>
      <c r="F95" s="54"/>
      <c r="G95" s="54"/>
      <c r="H95" s="54"/>
      <c r="I95" s="54"/>
      <c r="J95" s="54"/>
    </row>
    <row r="96" customFormat="false" ht="18" hidden="false" customHeight="true" outlineLevel="0" collapsed="false">
      <c r="A96" s="55"/>
      <c r="B96" s="55"/>
      <c r="C96" s="55"/>
      <c r="D96" s="55"/>
      <c r="E96" s="55"/>
      <c r="F96" s="55"/>
      <c r="G96" s="55"/>
      <c r="H96" s="55"/>
      <c r="I96" s="55"/>
      <c r="J96" s="55"/>
    </row>
    <row r="97" customFormat="false" ht="18" hidden="false" customHeight="true" outlineLevel="0" collapsed="false">
      <c r="A97" s="54"/>
      <c r="B97" s="54"/>
      <c r="C97" s="54"/>
      <c r="D97" s="54"/>
      <c r="E97" s="54"/>
      <c r="F97" s="54"/>
      <c r="G97" s="54"/>
      <c r="H97" s="54"/>
      <c r="I97" s="54"/>
      <c r="J97" s="54"/>
    </row>
    <row r="98" customFormat="false" ht="18" hidden="false" customHeight="true" outlineLevel="0" collapsed="false">
      <c r="A98" s="55"/>
      <c r="B98" s="55"/>
      <c r="C98" s="55"/>
      <c r="D98" s="55"/>
      <c r="E98" s="55"/>
      <c r="F98" s="55"/>
      <c r="G98" s="55"/>
      <c r="H98" s="55"/>
      <c r="I98" s="55"/>
      <c r="J98" s="55"/>
    </row>
    <row r="99" customFormat="false" ht="18" hidden="false" customHeight="true" outlineLevel="0" collapsed="false">
      <c r="A99" s="54"/>
      <c r="B99" s="54"/>
      <c r="C99" s="54"/>
      <c r="D99" s="54"/>
      <c r="E99" s="54"/>
      <c r="F99" s="54"/>
      <c r="G99" s="54"/>
      <c r="H99" s="54"/>
      <c r="I99" s="54"/>
      <c r="J99" s="54"/>
    </row>
    <row r="100" customFormat="false" ht="18" hidden="false" customHeight="true" outlineLevel="0" collapsed="false">
      <c r="A100" s="55"/>
      <c r="B100" s="55"/>
      <c r="C100" s="55"/>
      <c r="D100" s="55"/>
      <c r="E100" s="55"/>
      <c r="F100" s="55"/>
      <c r="G100" s="55"/>
      <c r="H100" s="55"/>
      <c r="I100" s="55"/>
      <c r="J100" s="55"/>
    </row>
    <row r="101" customFormat="false" ht="18" hidden="false" customHeight="true" outlineLevel="0" collapsed="false">
      <c r="A101" s="54"/>
      <c r="B101" s="54"/>
      <c r="C101" s="54"/>
      <c r="D101" s="54"/>
      <c r="E101" s="54"/>
      <c r="F101" s="54"/>
      <c r="G101" s="54"/>
      <c r="H101" s="54"/>
      <c r="I101" s="54"/>
      <c r="J101" s="54"/>
    </row>
    <row r="102" customFormat="false" ht="18" hidden="false" customHeight="true" outlineLevel="0" collapsed="false">
      <c r="A102" s="55"/>
      <c r="B102" s="55"/>
      <c r="C102" s="55"/>
      <c r="D102" s="55"/>
      <c r="E102" s="55"/>
      <c r="F102" s="55"/>
      <c r="G102" s="55"/>
      <c r="H102" s="55"/>
      <c r="I102" s="55"/>
      <c r="J102" s="55"/>
    </row>
    <row r="103" customFormat="false" ht="18" hidden="false" customHeight="true" outlineLevel="0" collapsed="false">
      <c r="A103" s="54"/>
      <c r="B103" s="54"/>
      <c r="C103" s="54"/>
      <c r="D103" s="54"/>
      <c r="E103" s="54"/>
      <c r="F103" s="54"/>
      <c r="G103" s="54"/>
      <c r="H103" s="54"/>
      <c r="I103" s="54"/>
      <c r="J103" s="54"/>
    </row>
    <row r="104" customFormat="false" ht="18" hidden="false" customHeight="true" outlineLevel="0" collapsed="false">
      <c r="A104" s="55"/>
      <c r="B104" s="55"/>
      <c r="C104" s="55"/>
      <c r="D104" s="55"/>
      <c r="E104" s="55"/>
      <c r="F104" s="55"/>
      <c r="G104" s="55"/>
      <c r="H104" s="55"/>
      <c r="I104" s="55"/>
      <c r="J104" s="55"/>
    </row>
    <row r="105" customFormat="false" ht="18" hidden="false" customHeight="true" outlineLevel="0" collapsed="false">
      <c r="A105" s="54"/>
      <c r="B105" s="54"/>
      <c r="C105" s="54"/>
      <c r="D105" s="54"/>
      <c r="E105" s="54"/>
      <c r="F105" s="54"/>
      <c r="G105" s="54"/>
      <c r="H105" s="54"/>
      <c r="I105" s="54"/>
      <c r="J105" s="54"/>
    </row>
    <row r="106" customFormat="false" ht="18" hidden="false" customHeight="true" outlineLevel="0" collapsed="false">
      <c r="A106" s="55"/>
      <c r="B106" s="55"/>
      <c r="C106" s="55"/>
      <c r="D106" s="55"/>
      <c r="E106" s="55"/>
      <c r="F106" s="55"/>
      <c r="G106" s="55"/>
      <c r="H106" s="55"/>
      <c r="I106" s="55"/>
      <c r="J106" s="55"/>
    </row>
    <row r="107" customFormat="false" ht="18" hidden="false" customHeight="true" outlineLevel="0" collapsed="false">
      <c r="A107" s="54"/>
      <c r="B107" s="54"/>
      <c r="C107" s="54"/>
      <c r="D107" s="54"/>
      <c r="E107" s="54"/>
      <c r="F107" s="54"/>
      <c r="G107" s="54"/>
      <c r="H107" s="54"/>
      <c r="I107" s="54"/>
      <c r="J107" s="54"/>
    </row>
    <row r="108" customFormat="false" ht="18" hidden="false" customHeight="true" outlineLevel="0" collapsed="false">
      <c r="A108" s="55"/>
      <c r="B108" s="55"/>
      <c r="C108" s="55"/>
      <c r="D108" s="55"/>
      <c r="E108" s="55"/>
      <c r="F108" s="55"/>
      <c r="G108" s="55"/>
      <c r="H108" s="55"/>
      <c r="I108" s="55"/>
      <c r="J108" s="55"/>
    </row>
    <row r="109" customFormat="false" ht="18" hidden="false" customHeight="true" outlineLevel="0" collapsed="false">
      <c r="A109" s="54"/>
      <c r="B109" s="54"/>
      <c r="C109" s="54"/>
      <c r="D109" s="54"/>
      <c r="E109" s="54"/>
      <c r="F109" s="54"/>
      <c r="G109" s="54"/>
      <c r="H109" s="54"/>
      <c r="I109" s="54"/>
      <c r="J109" s="54"/>
    </row>
    <row r="110" customFormat="false" ht="18" hidden="false" customHeight="true" outlineLevel="0" collapsed="false">
      <c r="A110" s="55"/>
      <c r="B110" s="55"/>
      <c r="C110" s="55"/>
      <c r="D110" s="55"/>
      <c r="E110" s="55"/>
      <c r="F110" s="55"/>
      <c r="G110" s="55"/>
      <c r="H110" s="55"/>
      <c r="I110" s="55"/>
      <c r="J110" s="55"/>
    </row>
    <row r="111" customFormat="false" ht="18" hidden="false" customHeight="true" outlineLevel="0" collapsed="false">
      <c r="A111" s="54"/>
      <c r="B111" s="54"/>
      <c r="C111" s="54"/>
      <c r="D111" s="54"/>
      <c r="E111" s="54"/>
      <c r="F111" s="54"/>
      <c r="G111" s="54"/>
      <c r="H111" s="54"/>
      <c r="I111" s="54"/>
      <c r="J111" s="54"/>
    </row>
    <row r="112" customFormat="false" ht="18" hidden="false" customHeight="true" outlineLevel="0" collapsed="false">
      <c r="A112" s="55"/>
      <c r="B112" s="55"/>
      <c r="C112" s="55"/>
      <c r="D112" s="55"/>
      <c r="E112" s="55"/>
      <c r="F112" s="55"/>
      <c r="G112" s="55"/>
      <c r="H112" s="55"/>
      <c r="I112" s="55"/>
      <c r="J112" s="55"/>
    </row>
    <row r="113" customFormat="false" ht="18" hidden="false" customHeight="true" outlineLevel="0" collapsed="false">
      <c r="A113" s="54"/>
      <c r="B113" s="54"/>
      <c r="C113" s="54"/>
      <c r="D113" s="54"/>
      <c r="E113" s="54"/>
      <c r="F113" s="54"/>
      <c r="G113" s="54"/>
      <c r="H113" s="54"/>
      <c r="I113" s="54"/>
      <c r="J113" s="54"/>
    </row>
    <row r="114" customFormat="false" ht="18" hidden="false" customHeight="true" outlineLevel="0" collapsed="false">
      <c r="A114" s="55"/>
      <c r="B114" s="55"/>
      <c r="C114" s="55"/>
      <c r="D114" s="55"/>
      <c r="E114" s="55"/>
      <c r="F114" s="55"/>
      <c r="G114" s="55"/>
      <c r="H114" s="55"/>
      <c r="I114" s="55"/>
      <c r="J114" s="55"/>
    </row>
    <row r="115" customFormat="false" ht="18" hidden="false" customHeight="true" outlineLevel="0" collapsed="false">
      <c r="A115" s="54"/>
      <c r="B115" s="54"/>
      <c r="C115" s="54"/>
      <c r="D115" s="54"/>
      <c r="E115" s="54"/>
      <c r="F115" s="54"/>
      <c r="G115" s="54"/>
      <c r="H115" s="54"/>
      <c r="I115" s="54"/>
      <c r="J115" s="54"/>
    </row>
    <row r="116" customFormat="false" ht="18" hidden="false" customHeight="true" outlineLevel="0" collapsed="false">
      <c r="A116" s="55"/>
      <c r="B116" s="55"/>
      <c r="C116" s="55"/>
      <c r="D116" s="55"/>
      <c r="E116" s="55"/>
      <c r="F116" s="55"/>
      <c r="G116" s="55"/>
      <c r="H116" s="55"/>
      <c r="I116" s="55"/>
      <c r="J116" s="55"/>
    </row>
    <row r="117" customFormat="false" ht="18" hidden="false" customHeight="true" outlineLevel="0" collapsed="false">
      <c r="A117" s="54"/>
      <c r="B117" s="54"/>
      <c r="C117" s="54"/>
      <c r="D117" s="54"/>
      <c r="E117" s="54"/>
      <c r="F117" s="54"/>
      <c r="G117" s="54"/>
      <c r="H117" s="54"/>
      <c r="I117" s="54"/>
      <c r="J117" s="54"/>
    </row>
    <row r="118" customFormat="false" ht="18" hidden="false" customHeight="true" outlineLevel="0" collapsed="false">
      <c r="A118" s="55"/>
      <c r="B118" s="55"/>
      <c r="C118" s="55"/>
      <c r="D118" s="55"/>
      <c r="E118" s="55"/>
      <c r="F118" s="55"/>
      <c r="G118" s="55"/>
      <c r="H118" s="55"/>
      <c r="I118" s="55"/>
      <c r="J118" s="55"/>
    </row>
    <row r="119" customFormat="false" ht="18" hidden="false" customHeight="true" outlineLevel="0" collapsed="false">
      <c r="A119" s="54"/>
      <c r="B119" s="54"/>
      <c r="C119" s="54"/>
      <c r="D119" s="54"/>
      <c r="E119" s="54"/>
      <c r="F119" s="54"/>
      <c r="G119" s="54"/>
      <c r="H119" s="54"/>
      <c r="I119" s="54"/>
      <c r="J119" s="54"/>
    </row>
    <row r="120" customFormat="false" ht="18" hidden="false" customHeight="true" outlineLevel="0" collapsed="false">
      <c r="A120" s="55"/>
      <c r="B120" s="55"/>
      <c r="C120" s="55"/>
      <c r="D120" s="55"/>
      <c r="E120" s="55"/>
      <c r="F120" s="55"/>
      <c r="G120" s="55"/>
      <c r="H120" s="55"/>
      <c r="I120" s="55"/>
      <c r="J120" s="55"/>
    </row>
    <row r="121" customFormat="false" ht="18" hidden="false" customHeight="true" outlineLevel="0" collapsed="false">
      <c r="A121" s="54"/>
      <c r="B121" s="54"/>
      <c r="C121" s="54"/>
      <c r="D121" s="54"/>
      <c r="E121" s="54"/>
      <c r="F121" s="54"/>
      <c r="G121" s="54"/>
      <c r="H121" s="54"/>
      <c r="I121" s="54"/>
      <c r="J121" s="54"/>
    </row>
    <row r="122" customFormat="false" ht="18" hidden="false" customHeight="true" outlineLevel="0" collapsed="false">
      <c r="A122" s="55"/>
      <c r="B122" s="55"/>
      <c r="C122" s="55"/>
      <c r="D122" s="55"/>
      <c r="E122" s="55"/>
      <c r="F122" s="55"/>
      <c r="G122" s="55"/>
      <c r="H122" s="55"/>
      <c r="I122" s="55"/>
      <c r="J122" s="55"/>
    </row>
    <row r="123" customFormat="false" ht="18" hidden="false" customHeight="true" outlineLevel="0" collapsed="false">
      <c r="A123" s="54"/>
      <c r="B123" s="54"/>
      <c r="C123" s="54"/>
      <c r="D123" s="54"/>
      <c r="E123" s="54"/>
      <c r="F123" s="54"/>
      <c r="G123" s="54"/>
      <c r="H123" s="54"/>
      <c r="I123" s="54"/>
      <c r="J123" s="54"/>
    </row>
    <row r="124" customFormat="false" ht="18" hidden="false" customHeight="true" outlineLevel="0" collapsed="false">
      <c r="A124" s="55"/>
      <c r="B124" s="55"/>
      <c r="C124" s="55"/>
      <c r="D124" s="55"/>
      <c r="E124" s="55"/>
      <c r="F124" s="55"/>
      <c r="G124" s="55"/>
      <c r="H124" s="55"/>
      <c r="I124" s="55"/>
      <c r="J124" s="55"/>
    </row>
    <row r="125" customFormat="false" ht="18" hidden="false" customHeight="true" outlineLevel="0" collapsed="false">
      <c r="A125" s="54"/>
      <c r="B125" s="54"/>
      <c r="C125" s="54"/>
      <c r="D125" s="54"/>
      <c r="E125" s="54"/>
      <c r="F125" s="54"/>
      <c r="G125" s="54"/>
      <c r="H125" s="54"/>
      <c r="I125" s="54"/>
      <c r="J125" s="54"/>
    </row>
    <row r="126" customFormat="false" ht="18" hidden="false" customHeight="true" outlineLevel="0" collapsed="false">
      <c r="A126" s="55"/>
      <c r="B126" s="55"/>
      <c r="C126" s="55"/>
      <c r="D126" s="55"/>
      <c r="E126" s="55"/>
      <c r="F126" s="55"/>
      <c r="G126" s="55"/>
      <c r="H126" s="55"/>
      <c r="I126" s="55"/>
      <c r="J126" s="55"/>
    </row>
    <row r="127" customFormat="false" ht="18" hidden="false" customHeight="true" outlineLevel="0" collapsed="false">
      <c r="A127" s="54"/>
      <c r="B127" s="54"/>
      <c r="C127" s="54"/>
      <c r="D127" s="54"/>
      <c r="E127" s="54"/>
      <c r="F127" s="54"/>
      <c r="G127" s="54"/>
      <c r="H127" s="54"/>
      <c r="I127" s="54"/>
      <c r="J127" s="54"/>
    </row>
    <row r="128" customFormat="false" ht="18" hidden="false" customHeight="true" outlineLevel="0" collapsed="false">
      <c r="A128" s="55"/>
      <c r="B128" s="55"/>
      <c r="C128" s="55"/>
      <c r="D128" s="55"/>
      <c r="E128" s="55"/>
      <c r="F128" s="55"/>
      <c r="G128" s="55"/>
      <c r="H128" s="55"/>
      <c r="I128" s="55"/>
      <c r="J128" s="55"/>
    </row>
    <row r="129" customFormat="false" ht="18" hidden="false" customHeight="true" outlineLevel="0" collapsed="false">
      <c r="A129" s="54"/>
      <c r="B129" s="54"/>
      <c r="C129" s="54"/>
      <c r="D129" s="54"/>
      <c r="E129" s="54"/>
      <c r="F129" s="54"/>
      <c r="G129" s="54"/>
      <c r="H129" s="54"/>
      <c r="I129" s="54"/>
      <c r="J129" s="54"/>
    </row>
    <row r="130" customFormat="false" ht="18" hidden="false" customHeight="true" outlineLevel="0" collapsed="false">
      <c r="A130" s="55"/>
      <c r="B130" s="55"/>
      <c r="C130" s="55"/>
      <c r="D130" s="55"/>
      <c r="E130" s="55"/>
      <c r="F130" s="55"/>
      <c r="G130" s="55"/>
      <c r="H130" s="55"/>
      <c r="I130" s="55"/>
      <c r="J130" s="55"/>
    </row>
    <row r="131" customFormat="false" ht="18" hidden="false" customHeight="true" outlineLevel="0" collapsed="false">
      <c r="A131" s="54"/>
      <c r="B131" s="54"/>
      <c r="C131" s="54"/>
      <c r="D131" s="54"/>
      <c r="E131" s="54"/>
      <c r="F131" s="54"/>
      <c r="G131" s="54"/>
      <c r="H131" s="54"/>
      <c r="I131" s="54"/>
      <c r="J131" s="54"/>
    </row>
    <row r="132" customFormat="false" ht="18" hidden="false" customHeight="true" outlineLevel="0" collapsed="false">
      <c r="A132" s="55"/>
      <c r="B132" s="55"/>
      <c r="C132" s="55"/>
      <c r="D132" s="55"/>
      <c r="E132" s="55"/>
      <c r="F132" s="55"/>
      <c r="G132" s="55"/>
      <c r="H132" s="55"/>
      <c r="I132" s="55"/>
      <c r="J132" s="55"/>
    </row>
    <row r="133" customFormat="false" ht="18" hidden="false" customHeight="true" outlineLevel="0" collapsed="false">
      <c r="A133" s="54"/>
      <c r="B133" s="54"/>
      <c r="C133" s="54"/>
      <c r="D133" s="54"/>
      <c r="E133" s="54"/>
      <c r="F133" s="54"/>
      <c r="G133" s="54"/>
      <c r="H133" s="54"/>
      <c r="I133" s="54"/>
      <c r="J133" s="54"/>
    </row>
    <row r="134" customFormat="false" ht="18" hidden="false" customHeight="true" outlineLevel="0" collapsed="false">
      <c r="A134" s="55"/>
      <c r="B134" s="55"/>
      <c r="C134" s="55"/>
      <c r="D134" s="55"/>
      <c r="E134" s="55"/>
      <c r="F134" s="55"/>
      <c r="G134" s="55"/>
      <c r="H134" s="55"/>
      <c r="I134" s="55"/>
      <c r="J134" s="55"/>
    </row>
    <row r="135" customFormat="false" ht="18" hidden="false" customHeight="true" outlineLevel="0" collapsed="false">
      <c r="A135" s="54"/>
      <c r="B135" s="54"/>
      <c r="C135" s="54"/>
      <c r="D135" s="54"/>
      <c r="E135" s="54"/>
      <c r="F135" s="54"/>
      <c r="G135" s="54"/>
      <c r="H135" s="54"/>
      <c r="I135" s="54"/>
      <c r="J135" s="54"/>
    </row>
    <row r="136" customFormat="false" ht="18" hidden="false" customHeight="true" outlineLevel="0" collapsed="false">
      <c r="A136" s="55"/>
      <c r="B136" s="55"/>
      <c r="C136" s="55"/>
      <c r="D136" s="55"/>
      <c r="E136" s="55"/>
      <c r="F136" s="55"/>
      <c r="G136" s="55"/>
      <c r="H136" s="55"/>
      <c r="I136" s="55"/>
      <c r="J136" s="55"/>
    </row>
    <row r="137" customFormat="false" ht="18" hidden="false" customHeight="true" outlineLevel="0" collapsed="false">
      <c r="A137" s="54"/>
      <c r="B137" s="54"/>
      <c r="C137" s="54"/>
      <c r="D137" s="54"/>
      <c r="E137" s="54"/>
      <c r="F137" s="54"/>
      <c r="G137" s="54"/>
      <c r="H137" s="54"/>
      <c r="I137" s="54"/>
      <c r="J137" s="54"/>
    </row>
    <row r="138" customFormat="false" ht="18" hidden="false" customHeight="true" outlineLevel="0" collapsed="false">
      <c r="A138" s="55"/>
      <c r="B138" s="55"/>
      <c r="C138" s="55"/>
      <c r="D138" s="55"/>
      <c r="E138" s="55"/>
      <c r="F138" s="55"/>
      <c r="G138" s="55"/>
      <c r="H138" s="55"/>
      <c r="I138" s="55"/>
      <c r="J138" s="55"/>
    </row>
    <row r="139" customFormat="false" ht="18" hidden="false" customHeight="true" outlineLevel="0" collapsed="false">
      <c r="A139" s="54"/>
      <c r="B139" s="54"/>
      <c r="C139" s="54"/>
      <c r="D139" s="54"/>
      <c r="E139" s="54"/>
      <c r="F139" s="54"/>
      <c r="G139" s="54"/>
      <c r="H139" s="54"/>
      <c r="I139" s="54"/>
      <c r="J139" s="54"/>
    </row>
    <row r="140" customFormat="false" ht="18" hidden="false" customHeight="true" outlineLevel="0" collapsed="false">
      <c r="A140" s="55"/>
      <c r="B140" s="55"/>
      <c r="C140" s="55"/>
      <c r="D140" s="55"/>
      <c r="E140" s="55"/>
      <c r="F140" s="55"/>
      <c r="G140" s="55"/>
      <c r="H140" s="55"/>
      <c r="I140" s="55"/>
      <c r="J140" s="55"/>
    </row>
    <row r="141" customFormat="false" ht="18" hidden="false" customHeight="true" outlineLevel="0" collapsed="false">
      <c r="A141" s="54"/>
      <c r="B141" s="54"/>
      <c r="C141" s="54"/>
      <c r="D141" s="54"/>
      <c r="E141" s="54"/>
      <c r="F141" s="54"/>
      <c r="G141" s="54"/>
      <c r="H141" s="54"/>
      <c r="I141" s="54"/>
      <c r="J141" s="54"/>
    </row>
    <row r="142" customFormat="false" ht="18" hidden="false" customHeight="true" outlineLevel="0" collapsed="false">
      <c r="A142" s="55"/>
      <c r="B142" s="55"/>
      <c r="C142" s="55"/>
      <c r="D142" s="55"/>
      <c r="E142" s="55"/>
      <c r="F142" s="55"/>
      <c r="G142" s="55"/>
      <c r="H142" s="55"/>
      <c r="I142" s="55"/>
      <c r="J142" s="55"/>
    </row>
    <row r="143" customFormat="false" ht="18" hidden="false" customHeight="true" outlineLevel="0" collapsed="false">
      <c r="A143" s="54"/>
      <c r="B143" s="54"/>
      <c r="C143" s="54"/>
      <c r="D143" s="54"/>
      <c r="E143" s="54"/>
      <c r="F143" s="54"/>
      <c r="G143" s="54"/>
      <c r="H143" s="54"/>
      <c r="I143" s="54"/>
      <c r="J143" s="54"/>
    </row>
    <row r="144" customFormat="false" ht="18" hidden="false" customHeight="true" outlineLevel="0" collapsed="false">
      <c r="A144" s="55"/>
      <c r="B144" s="55"/>
      <c r="C144" s="55"/>
      <c r="D144" s="55"/>
      <c r="E144" s="55"/>
      <c r="F144" s="55"/>
      <c r="G144" s="55"/>
      <c r="H144" s="55"/>
      <c r="I144" s="55"/>
      <c r="J144" s="55"/>
    </row>
    <row r="145" customFormat="false" ht="18" hidden="false" customHeight="true" outlineLevel="0" collapsed="false">
      <c r="A145" s="54"/>
      <c r="B145" s="54"/>
      <c r="C145" s="54"/>
      <c r="D145" s="54"/>
      <c r="E145" s="54"/>
      <c r="F145" s="54"/>
      <c r="G145" s="54"/>
      <c r="H145" s="54"/>
      <c r="I145" s="54"/>
      <c r="J145" s="54"/>
    </row>
    <row r="146" customFormat="false" ht="18" hidden="false" customHeight="true" outlineLevel="0" collapsed="false">
      <c r="A146" s="55"/>
      <c r="B146" s="55"/>
      <c r="C146" s="55"/>
      <c r="D146" s="55"/>
      <c r="E146" s="55"/>
      <c r="F146" s="55"/>
      <c r="G146" s="55"/>
      <c r="H146" s="55"/>
      <c r="I146" s="55"/>
      <c r="J146" s="55"/>
    </row>
    <row r="147" customFormat="false" ht="18" hidden="false" customHeight="true" outlineLevel="0" collapsed="false">
      <c r="A147" s="54"/>
      <c r="B147" s="54"/>
      <c r="C147" s="54"/>
      <c r="D147" s="54"/>
      <c r="E147" s="54"/>
      <c r="F147" s="54"/>
      <c r="G147" s="54"/>
      <c r="H147" s="54"/>
      <c r="I147" s="54"/>
      <c r="J147" s="54"/>
    </row>
    <row r="148" customFormat="false" ht="18" hidden="false" customHeight="true" outlineLevel="0" collapsed="false">
      <c r="A148" s="55"/>
      <c r="B148" s="55"/>
      <c r="C148" s="55"/>
      <c r="D148" s="55"/>
      <c r="E148" s="55"/>
      <c r="F148" s="55"/>
      <c r="G148" s="55"/>
      <c r="H148" s="55"/>
      <c r="I148" s="55"/>
      <c r="J148" s="55"/>
    </row>
    <row r="149" customFormat="false" ht="18" hidden="false" customHeight="true" outlineLevel="0" collapsed="false">
      <c r="A149" s="54"/>
      <c r="B149" s="54"/>
      <c r="C149" s="54"/>
      <c r="D149" s="54"/>
      <c r="E149" s="54"/>
      <c r="F149" s="54"/>
      <c r="G149" s="54"/>
      <c r="H149" s="54"/>
      <c r="I149" s="54"/>
      <c r="J149" s="54"/>
    </row>
    <row r="150" customFormat="false" ht="18" hidden="false" customHeight="true" outlineLevel="0" collapsed="false">
      <c r="A150" s="55"/>
      <c r="B150" s="55"/>
      <c r="C150" s="55"/>
      <c r="D150" s="55"/>
      <c r="E150" s="55"/>
      <c r="F150" s="55"/>
      <c r="G150" s="55"/>
      <c r="H150" s="55"/>
      <c r="I150" s="55"/>
      <c r="J150" s="55"/>
    </row>
    <row r="151" customFormat="false" ht="18" hidden="false" customHeight="true" outlineLevel="0" collapsed="false">
      <c r="A151" s="54"/>
      <c r="B151" s="54"/>
      <c r="C151" s="54"/>
      <c r="D151" s="54"/>
      <c r="E151" s="54"/>
      <c r="F151" s="54"/>
      <c r="G151" s="54"/>
      <c r="H151" s="54"/>
      <c r="I151" s="54"/>
      <c r="J151" s="54"/>
    </row>
    <row r="152" customFormat="false" ht="18" hidden="false" customHeight="true" outlineLevel="0" collapsed="false">
      <c r="A152" s="55"/>
      <c r="B152" s="55"/>
      <c r="C152" s="55"/>
      <c r="D152" s="55"/>
      <c r="E152" s="55"/>
      <c r="F152" s="55"/>
      <c r="G152" s="55"/>
      <c r="H152" s="55"/>
      <c r="I152" s="55"/>
      <c r="J152" s="55"/>
    </row>
    <row r="153" customFormat="false" ht="18" hidden="false" customHeight="true" outlineLevel="0" collapsed="false">
      <c r="A153" s="54"/>
      <c r="B153" s="54"/>
      <c r="C153" s="54"/>
      <c r="D153" s="54"/>
      <c r="E153" s="54"/>
      <c r="F153" s="54"/>
      <c r="G153" s="54"/>
      <c r="H153" s="54"/>
      <c r="I153" s="54"/>
      <c r="J153" s="54"/>
    </row>
    <row r="154" customFormat="false" ht="18" hidden="false" customHeight="true" outlineLevel="0" collapsed="false">
      <c r="A154" s="55"/>
      <c r="B154" s="55"/>
      <c r="C154" s="55"/>
      <c r="D154" s="55"/>
      <c r="E154" s="55"/>
      <c r="F154" s="55"/>
      <c r="G154" s="55"/>
      <c r="H154" s="55"/>
      <c r="I154" s="55"/>
      <c r="J154" s="55"/>
    </row>
    <row r="155" customFormat="false" ht="18" hidden="false" customHeight="true" outlineLevel="0" collapsed="false">
      <c r="A155" s="54"/>
      <c r="B155" s="54"/>
      <c r="C155" s="54"/>
      <c r="D155" s="54"/>
      <c r="E155" s="54"/>
      <c r="F155" s="54"/>
      <c r="G155" s="54"/>
      <c r="H155" s="54"/>
      <c r="I155" s="54"/>
      <c r="J155" s="54"/>
    </row>
    <row r="156" customFormat="false" ht="18" hidden="false" customHeight="true" outlineLevel="0" collapsed="false">
      <c r="A156" s="55"/>
      <c r="B156" s="55"/>
      <c r="C156" s="55"/>
      <c r="D156" s="55"/>
      <c r="E156" s="55"/>
      <c r="F156" s="55"/>
      <c r="G156" s="55"/>
      <c r="H156" s="55"/>
      <c r="I156" s="55"/>
      <c r="J156" s="55"/>
    </row>
    <row r="157" customFormat="false" ht="18" hidden="false" customHeight="true" outlineLevel="0" collapsed="false">
      <c r="A157" s="54"/>
      <c r="B157" s="54"/>
      <c r="C157" s="54"/>
      <c r="D157" s="54"/>
      <c r="E157" s="54"/>
      <c r="F157" s="54"/>
      <c r="G157" s="54"/>
      <c r="H157" s="54"/>
      <c r="I157" s="54"/>
      <c r="J157" s="54"/>
    </row>
    <row r="158" customFormat="false" ht="18" hidden="false" customHeight="true" outlineLevel="0" collapsed="false">
      <c r="A158" s="55"/>
      <c r="B158" s="55"/>
      <c r="C158" s="55"/>
      <c r="D158" s="55"/>
      <c r="E158" s="55"/>
      <c r="F158" s="55"/>
      <c r="G158" s="55"/>
      <c r="H158" s="55"/>
      <c r="I158" s="55"/>
      <c r="J158" s="55"/>
    </row>
    <row r="159" customFormat="false" ht="18" hidden="false" customHeight="true" outlineLevel="0" collapsed="false">
      <c r="A159" s="54"/>
      <c r="B159" s="54"/>
      <c r="C159" s="54"/>
      <c r="D159" s="54"/>
      <c r="E159" s="54"/>
      <c r="F159" s="54"/>
      <c r="G159" s="54"/>
      <c r="H159" s="54"/>
      <c r="I159" s="54"/>
      <c r="J159" s="54"/>
    </row>
    <row r="160" customFormat="false" ht="18" hidden="false" customHeight="true" outlineLevel="0" collapsed="false">
      <c r="A160" s="55"/>
      <c r="B160" s="55"/>
      <c r="C160" s="55"/>
      <c r="D160" s="55"/>
      <c r="E160" s="55"/>
      <c r="F160" s="55"/>
      <c r="G160" s="55"/>
      <c r="H160" s="55"/>
      <c r="I160" s="55"/>
      <c r="J160" s="55"/>
    </row>
    <row r="161" customFormat="false" ht="18" hidden="false" customHeight="true" outlineLevel="0" collapsed="false">
      <c r="A161" s="54"/>
      <c r="B161" s="54"/>
      <c r="C161" s="54"/>
      <c r="D161" s="54"/>
      <c r="E161" s="54"/>
      <c r="F161" s="54"/>
      <c r="G161" s="54"/>
      <c r="H161" s="54"/>
      <c r="I161" s="54"/>
      <c r="J161" s="54"/>
    </row>
    <row r="162" customFormat="false" ht="18" hidden="false" customHeight="true" outlineLevel="0" collapsed="false">
      <c r="A162" s="55"/>
      <c r="B162" s="55"/>
      <c r="C162" s="55"/>
      <c r="D162" s="55"/>
      <c r="E162" s="55"/>
      <c r="F162" s="55"/>
      <c r="G162" s="55"/>
      <c r="H162" s="55"/>
      <c r="I162" s="55"/>
      <c r="J162" s="55"/>
    </row>
    <row r="163" customFormat="false" ht="18" hidden="false" customHeight="true" outlineLevel="0" collapsed="false">
      <c r="A163" s="54"/>
      <c r="B163" s="54"/>
      <c r="C163" s="54"/>
      <c r="D163" s="54"/>
      <c r="E163" s="54"/>
      <c r="F163" s="54"/>
      <c r="G163" s="54"/>
      <c r="H163" s="54"/>
      <c r="I163" s="54"/>
      <c r="J163" s="54"/>
    </row>
    <row r="164" customFormat="false" ht="18" hidden="false" customHeight="true" outlineLevel="0" collapsed="false">
      <c r="A164" s="55"/>
      <c r="B164" s="55"/>
      <c r="C164" s="55"/>
      <c r="D164" s="55"/>
      <c r="E164" s="55"/>
      <c r="F164" s="55"/>
      <c r="G164" s="55"/>
      <c r="H164" s="55"/>
      <c r="I164" s="55"/>
      <c r="J164" s="55"/>
    </row>
    <row r="165" customFormat="false" ht="18" hidden="false" customHeight="true" outlineLevel="0" collapsed="false">
      <c r="A165" s="54"/>
      <c r="B165" s="54"/>
      <c r="C165" s="54"/>
      <c r="D165" s="54"/>
      <c r="E165" s="54"/>
      <c r="F165" s="54"/>
      <c r="G165" s="54"/>
      <c r="H165" s="54"/>
      <c r="I165" s="54"/>
      <c r="J165" s="54"/>
    </row>
    <row r="166" customFormat="false" ht="18" hidden="false" customHeight="true" outlineLevel="0" collapsed="false">
      <c r="A166" s="55"/>
      <c r="B166" s="55"/>
      <c r="C166" s="55"/>
      <c r="D166" s="55"/>
      <c r="E166" s="55"/>
      <c r="F166" s="55"/>
      <c r="G166" s="55"/>
      <c r="H166" s="55"/>
      <c r="I166" s="55"/>
      <c r="J166" s="55"/>
    </row>
    <row r="167" customFormat="false" ht="18" hidden="false" customHeight="true" outlineLevel="0" collapsed="false">
      <c r="A167" s="54"/>
      <c r="B167" s="54"/>
      <c r="C167" s="54"/>
      <c r="D167" s="54"/>
      <c r="E167" s="54"/>
      <c r="F167" s="54"/>
      <c r="G167" s="54"/>
      <c r="H167" s="54"/>
      <c r="I167" s="54"/>
      <c r="J167" s="54"/>
    </row>
    <row r="168" customFormat="false" ht="18" hidden="false" customHeight="true" outlineLevel="0" collapsed="false">
      <c r="A168" s="55"/>
      <c r="B168" s="55"/>
      <c r="C168" s="55"/>
      <c r="D168" s="55"/>
      <c r="E168" s="55"/>
      <c r="F168" s="55"/>
      <c r="G168" s="55"/>
      <c r="H168" s="55"/>
      <c r="I168" s="55"/>
      <c r="J168" s="55"/>
    </row>
    <row r="169" customFormat="false" ht="18" hidden="false" customHeight="true" outlineLevel="0" collapsed="false">
      <c r="A169" s="54"/>
      <c r="B169" s="54"/>
      <c r="C169" s="54"/>
      <c r="D169" s="54"/>
      <c r="E169" s="54"/>
      <c r="F169" s="54"/>
      <c r="G169" s="54"/>
      <c r="H169" s="54"/>
      <c r="I169" s="54"/>
      <c r="J169" s="54"/>
    </row>
    <row r="170" customFormat="false" ht="18" hidden="false" customHeight="true" outlineLevel="0" collapsed="false">
      <c r="A170" s="55"/>
      <c r="B170" s="55"/>
      <c r="C170" s="55"/>
      <c r="D170" s="55"/>
      <c r="E170" s="55"/>
      <c r="F170" s="55"/>
      <c r="G170" s="55"/>
      <c r="H170" s="55"/>
      <c r="I170" s="55"/>
      <c r="J170" s="55"/>
    </row>
    <row r="171" customFormat="false" ht="18" hidden="false" customHeight="true" outlineLevel="0" collapsed="false">
      <c r="A171" s="54"/>
      <c r="B171" s="54"/>
      <c r="C171" s="54"/>
      <c r="D171" s="54"/>
      <c r="E171" s="54"/>
      <c r="F171" s="54"/>
      <c r="G171" s="54"/>
      <c r="H171" s="54"/>
      <c r="I171" s="54"/>
      <c r="J171" s="54"/>
    </row>
    <row r="172" customFormat="false" ht="18" hidden="false" customHeight="true" outlineLevel="0" collapsed="false">
      <c r="A172" s="55"/>
      <c r="B172" s="55"/>
      <c r="C172" s="55"/>
      <c r="D172" s="55"/>
      <c r="E172" s="55"/>
      <c r="F172" s="55"/>
      <c r="G172" s="55"/>
      <c r="H172" s="55"/>
      <c r="I172" s="55"/>
      <c r="J172" s="55"/>
    </row>
    <row r="173" customFormat="false" ht="18" hidden="false" customHeight="true" outlineLevel="0" collapsed="false">
      <c r="A173" s="54"/>
      <c r="B173" s="54"/>
      <c r="C173" s="54"/>
      <c r="D173" s="54"/>
      <c r="E173" s="54"/>
      <c r="F173" s="54"/>
      <c r="G173" s="54"/>
      <c r="H173" s="54"/>
      <c r="I173" s="54"/>
      <c r="J173" s="54"/>
    </row>
    <row r="174" customFormat="false" ht="18" hidden="false" customHeight="true" outlineLevel="0" collapsed="false">
      <c r="A174" s="55"/>
      <c r="B174" s="55"/>
      <c r="C174" s="55"/>
      <c r="D174" s="55"/>
      <c r="E174" s="55"/>
      <c r="F174" s="55"/>
      <c r="G174" s="55"/>
      <c r="H174" s="55"/>
      <c r="I174" s="55"/>
      <c r="J174" s="55"/>
    </row>
    <row r="175" customFormat="false" ht="18" hidden="false" customHeight="true" outlineLevel="0" collapsed="false">
      <c r="A175" s="54"/>
      <c r="B175" s="54"/>
      <c r="C175" s="54"/>
      <c r="D175" s="54"/>
      <c r="E175" s="54"/>
      <c r="F175" s="54"/>
      <c r="G175" s="54"/>
      <c r="H175" s="54"/>
      <c r="I175" s="54"/>
      <c r="J175" s="54"/>
    </row>
    <row r="176" customFormat="false" ht="18" hidden="false" customHeight="true" outlineLevel="0" collapsed="false">
      <c r="A176" s="55"/>
      <c r="B176" s="55"/>
      <c r="C176" s="55"/>
      <c r="D176" s="55"/>
      <c r="E176" s="55"/>
      <c r="F176" s="55"/>
      <c r="G176" s="55"/>
      <c r="H176" s="55"/>
      <c r="I176" s="55"/>
      <c r="J176" s="55"/>
    </row>
    <row r="177" customFormat="false" ht="18" hidden="false" customHeight="true" outlineLevel="0" collapsed="false">
      <c r="A177" s="54"/>
      <c r="B177" s="54"/>
      <c r="C177" s="54"/>
      <c r="D177" s="54"/>
      <c r="E177" s="54"/>
      <c r="F177" s="54"/>
      <c r="G177" s="54"/>
      <c r="H177" s="54"/>
      <c r="I177" s="54"/>
      <c r="J177" s="54"/>
    </row>
    <row r="178" customFormat="false" ht="18" hidden="false" customHeight="true" outlineLevel="0" collapsed="false">
      <c r="A178" s="55"/>
      <c r="B178" s="55"/>
      <c r="C178" s="55"/>
      <c r="D178" s="55"/>
      <c r="E178" s="55"/>
      <c r="F178" s="55"/>
      <c r="G178" s="55"/>
      <c r="H178" s="55"/>
      <c r="I178" s="55"/>
      <c r="J178" s="55"/>
    </row>
    <row r="179" customFormat="false" ht="18" hidden="false" customHeight="true" outlineLevel="0" collapsed="false">
      <c r="A179" s="54"/>
      <c r="B179" s="54"/>
      <c r="C179" s="54"/>
      <c r="D179" s="54"/>
      <c r="E179" s="54"/>
      <c r="F179" s="54"/>
      <c r="G179" s="54"/>
      <c r="H179" s="54"/>
      <c r="I179" s="54"/>
      <c r="J179" s="54"/>
    </row>
    <row r="180" customFormat="false" ht="18" hidden="false" customHeight="true" outlineLevel="0" collapsed="false">
      <c r="A180" s="55"/>
      <c r="B180" s="55"/>
      <c r="C180" s="55"/>
      <c r="D180" s="55"/>
      <c r="E180" s="55"/>
      <c r="F180" s="55"/>
      <c r="G180" s="55"/>
      <c r="H180" s="55"/>
      <c r="I180" s="55"/>
      <c r="J180" s="55"/>
    </row>
    <row r="181" customFormat="false" ht="18" hidden="false" customHeight="true" outlineLevel="0" collapsed="false">
      <c r="A181" s="54"/>
      <c r="B181" s="54"/>
      <c r="C181" s="54"/>
      <c r="D181" s="54"/>
      <c r="E181" s="54"/>
      <c r="F181" s="54"/>
      <c r="G181" s="54"/>
      <c r="H181" s="54"/>
      <c r="I181" s="54"/>
      <c r="J181" s="54"/>
    </row>
    <row r="182" customFormat="false" ht="18" hidden="false" customHeight="true" outlineLevel="0" collapsed="false">
      <c r="A182" s="55"/>
      <c r="B182" s="55"/>
      <c r="C182" s="55"/>
      <c r="D182" s="55"/>
      <c r="E182" s="55"/>
      <c r="F182" s="55"/>
      <c r="G182" s="55"/>
      <c r="H182" s="55"/>
      <c r="I182" s="55"/>
      <c r="J182" s="55"/>
    </row>
    <row r="183" customFormat="false" ht="18" hidden="false" customHeight="true" outlineLevel="0" collapsed="false">
      <c r="A183" s="54"/>
      <c r="B183" s="54"/>
      <c r="C183" s="54"/>
      <c r="D183" s="54"/>
      <c r="E183" s="54"/>
      <c r="F183" s="54"/>
      <c r="G183" s="54"/>
      <c r="H183" s="54"/>
      <c r="I183" s="54"/>
      <c r="J183" s="54"/>
    </row>
    <row r="184" customFormat="false" ht="18" hidden="false" customHeight="true" outlineLevel="0" collapsed="false">
      <c r="A184" s="55"/>
      <c r="B184" s="55"/>
      <c r="C184" s="55"/>
      <c r="D184" s="55"/>
      <c r="E184" s="55"/>
      <c r="F184" s="55"/>
      <c r="G184" s="55"/>
      <c r="H184" s="55"/>
      <c r="I184" s="55"/>
      <c r="J184" s="55"/>
    </row>
    <row r="185" customFormat="false" ht="18" hidden="false" customHeight="true" outlineLevel="0" collapsed="false">
      <c r="A185" s="54"/>
      <c r="B185" s="54"/>
      <c r="C185" s="54"/>
      <c r="D185" s="54"/>
      <c r="E185" s="54"/>
      <c r="F185" s="54"/>
      <c r="G185" s="54"/>
      <c r="H185" s="54"/>
      <c r="I185" s="54"/>
      <c r="J185" s="54"/>
    </row>
    <row r="186" customFormat="false" ht="18" hidden="false" customHeight="true" outlineLevel="0" collapsed="false">
      <c r="A186" s="55"/>
      <c r="B186" s="55"/>
      <c r="C186" s="55"/>
      <c r="D186" s="55"/>
      <c r="E186" s="55"/>
      <c r="F186" s="55"/>
      <c r="G186" s="55"/>
      <c r="H186" s="55"/>
      <c r="I186" s="55"/>
      <c r="J186" s="55"/>
    </row>
    <row r="187" customFormat="false" ht="18" hidden="false" customHeight="true" outlineLevel="0" collapsed="false">
      <c r="A187" s="54"/>
      <c r="B187" s="54"/>
      <c r="C187" s="54"/>
      <c r="D187" s="54"/>
      <c r="E187" s="54"/>
      <c r="F187" s="54"/>
      <c r="G187" s="54"/>
      <c r="H187" s="54"/>
      <c r="I187" s="54"/>
      <c r="J187" s="54"/>
    </row>
    <row r="188" customFormat="false" ht="18" hidden="false" customHeight="true" outlineLevel="0" collapsed="false">
      <c r="A188" s="55"/>
      <c r="B188" s="55"/>
      <c r="C188" s="55"/>
      <c r="D188" s="55"/>
      <c r="E188" s="55"/>
      <c r="F188" s="55"/>
      <c r="G188" s="55"/>
      <c r="H188" s="55"/>
      <c r="I188" s="55"/>
      <c r="J188" s="55"/>
    </row>
    <row r="189" customFormat="false" ht="18" hidden="false" customHeight="true" outlineLevel="0" collapsed="false">
      <c r="A189" s="54"/>
      <c r="B189" s="54"/>
      <c r="C189" s="54"/>
      <c r="D189" s="54"/>
      <c r="E189" s="54"/>
      <c r="F189" s="54"/>
      <c r="G189" s="54"/>
      <c r="H189" s="54"/>
      <c r="I189" s="54"/>
      <c r="J189" s="54"/>
    </row>
    <row r="190" customFormat="false" ht="18" hidden="false" customHeight="true" outlineLevel="0" collapsed="false">
      <c r="A190" s="55"/>
      <c r="B190" s="55"/>
      <c r="C190" s="55"/>
      <c r="D190" s="55"/>
      <c r="E190" s="55"/>
      <c r="F190" s="55"/>
      <c r="G190" s="55"/>
      <c r="H190" s="55"/>
      <c r="I190" s="55"/>
      <c r="J190" s="55"/>
    </row>
    <row r="191" customFormat="false" ht="18" hidden="false" customHeight="true" outlineLevel="0" collapsed="false">
      <c r="A191" s="54"/>
      <c r="B191" s="54"/>
      <c r="C191" s="54"/>
      <c r="D191" s="54"/>
      <c r="E191" s="54"/>
      <c r="F191" s="54"/>
      <c r="G191" s="54"/>
      <c r="H191" s="54"/>
      <c r="I191" s="54"/>
      <c r="J191" s="54"/>
    </row>
    <row r="192" customFormat="false" ht="18" hidden="false" customHeight="true" outlineLevel="0" collapsed="false">
      <c r="A192" s="55"/>
      <c r="B192" s="55"/>
      <c r="C192" s="55"/>
      <c r="D192" s="55"/>
      <c r="E192" s="55"/>
      <c r="F192" s="55"/>
      <c r="G192" s="55"/>
      <c r="H192" s="55"/>
      <c r="I192" s="55"/>
      <c r="J192" s="55"/>
    </row>
    <row r="193" customFormat="false" ht="18" hidden="false" customHeight="true" outlineLevel="0" collapsed="false">
      <c r="A193" s="54"/>
      <c r="B193" s="54"/>
      <c r="C193" s="54"/>
      <c r="D193" s="54"/>
      <c r="E193" s="54"/>
      <c r="F193" s="54"/>
      <c r="G193" s="54"/>
      <c r="H193" s="54"/>
      <c r="I193" s="54"/>
      <c r="J193" s="54"/>
    </row>
    <row r="194" customFormat="false" ht="18" hidden="false" customHeight="true" outlineLevel="0" collapsed="false">
      <c r="A194" s="55"/>
      <c r="B194" s="55"/>
      <c r="C194" s="55"/>
      <c r="D194" s="55"/>
      <c r="E194" s="55"/>
      <c r="F194" s="55"/>
      <c r="G194" s="55"/>
      <c r="H194" s="55"/>
      <c r="I194" s="55"/>
      <c r="J194" s="55"/>
    </row>
    <row r="195" customFormat="false" ht="18" hidden="false" customHeight="true" outlineLevel="0" collapsed="false">
      <c r="A195" s="54"/>
      <c r="B195" s="54"/>
      <c r="C195" s="54"/>
      <c r="D195" s="54"/>
      <c r="E195" s="54"/>
      <c r="F195" s="54"/>
      <c r="G195" s="54"/>
      <c r="H195" s="54"/>
      <c r="I195" s="54"/>
      <c r="J195" s="54"/>
    </row>
    <row r="196" customFormat="false" ht="18" hidden="false" customHeight="true" outlineLevel="0" collapsed="false">
      <c r="A196" s="55"/>
      <c r="B196" s="55"/>
      <c r="C196" s="55"/>
      <c r="D196" s="55"/>
      <c r="E196" s="55"/>
      <c r="F196" s="55"/>
      <c r="G196" s="55"/>
      <c r="H196" s="55"/>
      <c r="I196" s="55"/>
      <c r="J196" s="55"/>
    </row>
    <row r="197" customFormat="false" ht="18" hidden="false" customHeight="true" outlineLevel="0" collapsed="false">
      <c r="A197" s="54"/>
      <c r="B197" s="54"/>
      <c r="C197" s="54"/>
      <c r="D197" s="54"/>
      <c r="E197" s="54"/>
      <c r="F197" s="54"/>
      <c r="G197" s="54"/>
      <c r="H197" s="54"/>
      <c r="I197" s="54"/>
      <c r="J197" s="54"/>
    </row>
    <row r="198" customFormat="false" ht="18" hidden="false" customHeight="true" outlineLevel="0" collapsed="false">
      <c r="A198" s="55"/>
      <c r="B198" s="55"/>
      <c r="C198" s="55"/>
      <c r="D198" s="55"/>
      <c r="E198" s="55"/>
      <c r="F198" s="55"/>
      <c r="G198" s="55"/>
      <c r="H198" s="55"/>
      <c r="I198" s="55"/>
      <c r="J198" s="55"/>
    </row>
    <row r="199" customFormat="false" ht="18" hidden="false" customHeight="true" outlineLevel="0" collapsed="false">
      <c r="A199" s="54"/>
      <c r="B199" s="54"/>
      <c r="C199" s="54"/>
      <c r="D199" s="54"/>
      <c r="E199" s="54"/>
      <c r="F199" s="54"/>
      <c r="G199" s="54"/>
      <c r="H199" s="54"/>
      <c r="I199" s="54"/>
      <c r="J199" s="54"/>
    </row>
    <row r="200" customFormat="false" ht="18" hidden="false" customHeight="true" outlineLevel="0" collapsed="false">
      <c r="A200" s="55"/>
      <c r="B200" s="55"/>
      <c r="C200" s="55"/>
      <c r="D200" s="55"/>
      <c r="E200" s="55"/>
      <c r="F200" s="55"/>
      <c r="G200" s="55"/>
      <c r="H200" s="55"/>
      <c r="I200" s="55"/>
      <c r="J200" s="55"/>
    </row>
    <row r="201" customFormat="false" ht="18" hidden="false" customHeight="true" outlineLevel="0" collapsed="false">
      <c r="A201" s="54"/>
      <c r="B201" s="54"/>
      <c r="C201" s="54"/>
      <c r="D201" s="54"/>
      <c r="E201" s="54"/>
      <c r="F201" s="54"/>
      <c r="G201" s="54"/>
      <c r="H201" s="54"/>
      <c r="I201" s="54"/>
      <c r="J201" s="54"/>
    </row>
    <row r="202" customFormat="false" ht="18" hidden="false" customHeight="true" outlineLevel="0" collapsed="false">
      <c r="A202" s="55"/>
      <c r="B202" s="55"/>
      <c r="C202" s="55"/>
      <c r="D202" s="55"/>
      <c r="E202" s="55"/>
      <c r="F202" s="55"/>
      <c r="G202" s="55"/>
      <c r="H202" s="55"/>
      <c r="I202" s="55"/>
      <c r="J202" s="55"/>
    </row>
    <row r="203" customFormat="false" ht="18" hidden="false" customHeight="true" outlineLevel="0" collapsed="false">
      <c r="A203" s="54"/>
      <c r="B203" s="54"/>
      <c r="C203" s="54"/>
      <c r="D203" s="54"/>
      <c r="E203" s="54"/>
      <c r="F203" s="54"/>
      <c r="G203" s="54"/>
      <c r="H203" s="54"/>
      <c r="I203" s="54"/>
      <c r="J203" s="54"/>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9B"/>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16"/>
    <col collapsed="false" customWidth="true" hidden="false" outlineLevel="0" max="4" min="3" style="1" width="28"/>
    <col collapsed="false" customWidth="true" hidden="false" outlineLevel="0" max="5" min="5" style="1" width="12"/>
    <col collapsed="false" customWidth="true" hidden="false" outlineLevel="0" max="6" min="6" style="1" width="36"/>
  </cols>
  <sheetData>
    <row r="1" customFormat="false" ht="39.75" hidden="false" customHeight="true" outlineLevel="0" collapsed="false">
      <c r="A1" s="48" t="s">
        <v>401</v>
      </c>
      <c r="B1" s="48"/>
      <c r="C1" s="48"/>
      <c r="D1" s="48"/>
      <c r="E1" s="48"/>
      <c r="F1" s="48"/>
    </row>
    <row r="2" customFormat="false" ht="7.5" hidden="false" customHeight="true" outlineLevel="0" collapsed="false"/>
    <row r="3" customFormat="false" ht="30" hidden="false" customHeight="true" outlineLevel="0" collapsed="false">
      <c r="A3" s="49" t="s">
        <v>402</v>
      </c>
      <c r="B3" s="49"/>
      <c r="C3" s="49"/>
      <c r="D3" s="49"/>
      <c r="E3" s="49"/>
      <c r="F3" s="49"/>
    </row>
    <row r="4" customFormat="false" ht="6" hidden="false" customHeight="true" outlineLevel="0" collapsed="false"/>
    <row r="5" customFormat="false" ht="25.5" hidden="false" customHeight="true" outlineLevel="0" collapsed="false">
      <c r="A5" s="56" t="s">
        <v>388</v>
      </c>
      <c r="B5" s="56"/>
      <c r="C5" s="57"/>
      <c r="D5" s="57"/>
      <c r="E5" s="57"/>
      <c r="F5" s="58" t="s">
        <v>403</v>
      </c>
    </row>
    <row r="6" customFormat="false" ht="25.5" hidden="false" customHeight="true" outlineLevel="0" collapsed="false">
      <c r="A6" s="56" t="s">
        <v>389</v>
      </c>
      <c r="B6" s="56"/>
      <c r="C6" s="57"/>
      <c r="D6" s="57"/>
      <c r="E6" s="57"/>
      <c r="F6" s="58" t="s">
        <v>404</v>
      </c>
    </row>
    <row r="7" customFormat="false" ht="25.5" hidden="false" customHeight="true" outlineLevel="0" collapsed="false">
      <c r="A7" s="56" t="s">
        <v>390</v>
      </c>
      <c r="B7" s="56"/>
      <c r="C7" s="57"/>
      <c r="D7" s="57"/>
      <c r="E7" s="57"/>
      <c r="F7" s="58" t="s">
        <v>405</v>
      </c>
    </row>
    <row r="8" customFormat="false" ht="25.5" hidden="false" customHeight="true" outlineLevel="0" collapsed="false">
      <c r="A8" s="56" t="s">
        <v>391</v>
      </c>
      <c r="B8" s="56"/>
      <c r="C8" s="57"/>
      <c r="D8" s="57"/>
      <c r="E8" s="57"/>
      <c r="F8" s="58" t="s">
        <v>406</v>
      </c>
    </row>
    <row r="9" customFormat="false" ht="25.5" hidden="false" customHeight="true" outlineLevel="0" collapsed="false">
      <c r="A9" s="56" t="s">
        <v>392</v>
      </c>
      <c r="B9" s="56"/>
      <c r="C9" s="57"/>
      <c r="D9" s="57"/>
      <c r="E9" s="57"/>
      <c r="F9" s="58" t="s">
        <v>407</v>
      </c>
    </row>
    <row r="10" customFormat="false" ht="25.5" hidden="false" customHeight="true" outlineLevel="0" collapsed="false">
      <c r="A10" s="56" t="s">
        <v>393</v>
      </c>
      <c r="B10" s="56"/>
      <c r="C10" s="57"/>
      <c r="D10" s="57"/>
      <c r="E10" s="57"/>
      <c r="F10" s="58"/>
    </row>
    <row r="11" customFormat="false" ht="25.5" hidden="false" customHeight="true" outlineLevel="0" collapsed="false">
      <c r="A11" s="56" t="s">
        <v>394</v>
      </c>
      <c r="B11" s="56"/>
      <c r="C11" s="57"/>
      <c r="D11" s="57"/>
      <c r="E11" s="57"/>
      <c r="F11" s="58" t="s">
        <v>408</v>
      </c>
    </row>
    <row r="12" customFormat="false" ht="25.5" hidden="false" customHeight="true" outlineLevel="0" collapsed="false">
      <c r="A12" s="56" t="s">
        <v>409</v>
      </c>
      <c r="B12" s="56"/>
      <c r="C12" s="57"/>
      <c r="D12" s="57"/>
      <c r="E12" s="57"/>
      <c r="F12" s="58" t="s">
        <v>410</v>
      </c>
    </row>
    <row r="13" customFormat="false" ht="25.5" hidden="false" customHeight="true" outlineLevel="0" collapsed="false">
      <c r="A13" s="56" t="s">
        <v>396</v>
      </c>
      <c r="B13" s="56"/>
      <c r="C13" s="57"/>
      <c r="D13" s="57"/>
      <c r="E13" s="57"/>
      <c r="F13" s="58" t="s">
        <v>411</v>
      </c>
    </row>
    <row r="14" customFormat="false" ht="25.5" hidden="false" customHeight="true" outlineLevel="0" collapsed="false">
      <c r="A14" s="56" t="s">
        <v>397</v>
      </c>
      <c r="B14" s="56"/>
      <c r="C14" s="57"/>
      <c r="D14" s="57"/>
      <c r="E14" s="57"/>
      <c r="F14" s="58" t="s">
        <v>412</v>
      </c>
    </row>
    <row r="15" customFormat="false" ht="9.75" hidden="false" customHeight="true" outlineLevel="0" collapsed="false"/>
    <row r="16" customFormat="false" ht="30" hidden="false" customHeight="true" outlineLevel="0" collapsed="false">
      <c r="A16" s="59" t="s">
        <v>413</v>
      </c>
      <c r="B16" s="59"/>
      <c r="C16" s="59"/>
      <c r="D16" s="59"/>
      <c r="E16" s="59"/>
      <c r="F16" s="59"/>
    </row>
    <row r="17" customFormat="false" ht="9.75" hidden="false" customHeight="true" outlineLevel="0" collapsed="false"/>
    <row r="18" customFormat="false" ht="21.75" hidden="false" customHeight="true" outlineLevel="0" collapsed="false">
      <c r="A18" s="60" t="s">
        <v>414</v>
      </c>
      <c r="B18" s="60"/>
      <c r="C18" s="60"/>
      <c r="D18" s="60"/>
      <c r="E18" s="60"/>
      <c r="F18" s="60"/>
    </row>
    <row r="19" customFormat="false" ht="21.75" hidden="false" customHeight="true" outlineLevel="0" collapsed="false">
      <c r="A19" s="61" t="s">
        <v>388</v>
      </c>
      <c r="B19" s="61" t="s">
        <v>389</v>
      </c>
      <c r="C19" s="61" t="s">
        <v>390</v>
      </c>
      <c r="D19" s="61" t="s">
        <v>391</v>
      </c>
      <c r="E19" s="61" t="s">
        <v>392</v>
      </c>
      <c r="F19" s="61" t="s">
        <v>393</v>
      </c>
    </row>
    <row r="20" customFormat="false" ht="19.5" hidden="false" customHeight="true" outlineLevel="0" collapsed="false">
      <c r="A20" s="62" t="n">
        <f aca="false">C5</f>
        <v>0</v>
      </c>
      <c r="B20" s="62" t="n">
        <f aca="false">C6</f>
        <v>0</v>
      </c>
      <c r="C20" s="62" t="n">
        <f aca="false">C7</f>
        <v>0</v>
      </c>
      <c r="D20" s="62" t="n">
        <f aca="false">C8</f>
        <v>0</v>
      </c>
      <c r="E20" s="62" t="n">
        <f aca="false">C9</f>
        <v>0</v>
      </c>
      <c r="F20" s="62" t="n">
        <f aca="false">C10</f>
        <v>0</v>
      </c>
    </row>
  </sheetData>
  <mergeCells count="24">
    <mergeCell ref="A1:F1"/>
    <mergeCell ref="A3:F3"/>
    <mergeCell ref="A5:B5"/>
    <mergeCell ref="C5:E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6:F16"/>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5C"/>
    <pageSetUpPr fitToPage="false"/>
  </sheetPr>
  <dimension ref="A1:H3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34"/>
    <col collapsed="false" customWidth="true" hidden="false" outlineLevel="0" max="4" min="4" style="1" width="12"/>
    <col collapsed="false" customWidth="true" hidden="false" outlineLevel="0" max="5" min="5" style="1" width="10"/>
    <col collapsed="false" customWidth="true" hidden="false" outlineLevel="0" max="6" min="6" style="1" width="22"/>
    <col collapsed="false" customWidth="true" hidden="false" outlineLevel="0" max="7" min="7" style="1" width="12"/>
    <col collapsed="false" customWidth="true" hidden="false" outlineLevel="0" max="8" min="8" style="1" width="22"/>
  </cols>
  <sheetData>
    <row r="1" customFormat="false" ht="36" hidden="false" customHeight="true" outlineLevel="0" collapsed="false">
      <c r="A1" s="48" t="s">
        <v>415</v>
      </c>
      <c r="B1" s="48"/>
      <c r="C1" s="48"/>
      <c r="D1" s="48"/>
      <c r="E1" s="48"/>
      <c r="F1" s="48"/>
      <c r="G1" s="48"/>
      <c r="H1" s="48"/>
    </row>
    <row r="2" customFormat="false" ht="33.75" hidden="false" customHeight="true" outlineLevel="0" collapsed="false">
      <c r="A2" s="49" t="s">
        <v>416</v>
      </c>
      <c r="B2" s="49"/>
      <c r="C2" s="49"/>
      <c r="D2" s="49"/>
      <c r="E2" s="49"/>
      <c r="F2" s="49"/>
      <c r="G2" s="49"/>
      <c r="H2" s="49"/>
    </row>
    <row r="3" customFormat="false" ht="24" hidden="false" customHeight="true" outlineLevel="0" collapsed="false">
      <c r="A3" s="63" t="s">
        <v>417</v>
      </c>
      <c r="B3" s="63"/>
      <c r="C3" s="63"/>
      <c r="D3" s="63"/>
      <c r="E3" s="63"/>
      <c r="F3" s="63"/>
      <c r="G3" s="63"/>
      <c r="H3" s="63"/>
    </row>
    <row r="4" customFormat="false" ht="25.5" hidden="false" customHeight="true" outlineLevel="0" collapsed="false">
      <c r="A4" s="56" t="s">
        <v>418</v>
      </c>
      <c r="B4" s="53"/>
      <c r="C4" s="56" t="s">
        <v>419</v>
      </c>
      <c r="D4" s="53"/>
      <c r="E4" s="56" t="s">
        <v>420</v>
      </c>
      <c r="F4" s="53"/>
      <c r="G4" s="56" t="s">
        <v>421</v>
      </c>
      <c r="H4" s="53"/>
    </row>
    <row r="5" customFormat="false" ht="19.5" hidden="false" customHeight="true" outlineLevel="0" collapsed="false">
      <c r="A5" s="64" t="s">
        <v>422</v>
      </c>
      <c r="B5" s="64"/>
      <c r="C5" s="64"/>
      <c r="D5" s="64"/>
      <c r="E5" s="64"/>
      <c r="F5" s="64"/>
      <c r="G5" s="64"/>
      <c r="H5" s="64"/>
    </row>
    <row r="6" customFormat="false" ht="7.5" hidden="false" customHeight="true" outlineLevel="0" collapsed="false"/>
    <row r="7" customFormat="false" ht="21.75" hidden="false" customHeight="true" outlineLevel="0" collapsed="false">
      <c r="A7" s="65" t="s">
        <v>388</v>
      </c>
      <c r="B7" s="65" t="s">
        <v>423</v>
      </c>
      <c r="C7" s="65" t="s">
        <v>424</v>
      </c>
      <c r="D7" s="65" t="s">
        <v>226</v>
      </c>
      <c r="E7" s="65" t="s">
        <v>425</v>
      </c>
      <c r="F7" s="65" t="s">
        <v>426</v>
      </c>
      <c r="G7" s="65" t="s">
        <v>427</v>
      </c>
      <c r="H7" s="65" t="s">
        <v>54</v>
      </c>
    </row>
    <row r="8" customFormat="false" ht="18" hidden="false" customHeight="true" outlineLevel="0" collapsed="false">
      <c r="A8" s="55" t="s">
        <v>398</v>
      </c>
      <c r="B8" s="66" t="n">
        <v>1101001</v>
      </c>
      <c r="C8" s="55" t="s">
        <v>428</v>
      </c>
      <c r="D8" s="55" t="s">
        <v>232</v>
      </c>
      <c r="E8" s="67" t="n">
        <f aca="false">IF(D8="ACTIVO",1,IF(D8="PASIVO",2,IF(D8="PERDIDA",3,IF(D8="GANANCIA",4,0))))</f>
        <v>1</v>
      </c>
      <c r="F8" s="55"/>
      <c r="G8" s="55" t="s">
        <v>429</v>
      </c>
      <c r="H8" s="55"/>
    </row>
    <row r="9" customFormat="false" ht="18" hidden="false" customHeight="true" outlineLevel="0" collapsed="false">
      <c r="A9" s="54" t="s">
        <v>398</v>
      </c>
      <c r="B9" s="68" t="n">
        <v>1101002</v>
      </c>
      <c r="C9" s="54" t="s">
        <v>430</v>
      </c>
      <c r="D9" s="54" t="s">
        <v>232</v>
      </c>
      <c r="E9" s="69" t="n">
        <f aca="false">IF(D9="ACTIVO",1,IF(D9="PASIVO",2,IF(D9="PERDIDA",3,IF(D9="GANANCIA",4,0))))</f>
        <v>1</v>
      </c>
      <c r="F9" s="54"/>
      <c r="G9" s="54" t="s">
        <v>429</v>
      </c>
      <c r="H9" s="54"/>
    </row>
    <row r="10" customFormat="false" ht="18" hidden="false" customHeight="true" outlineLevel="0" collapsed="false">
      <c r="A10" s="55" t="s">
        <v>398</v>
      </c>
      <c r="B10" s="66" t="n">
        <v>1104001</v>
      </c>
      <c r="C10" s="55" t="s">
        <v>431</v>
      </c>
      <c r="D10" s="55" t="s">
        <v>232</v>
      </c>
      <c r="E10" s="67" t="n">
        <f aca="false">IF(D10="ACTIVO",1,IF(D10="PASIVO",2,IF(D10="PERDIDA",3,IF(D10="GANANCIA",4,0))))</f>
        <v>1</v>
      </c>
      <c r="F10" s="55"/>
      <c r="G10" s="55" t="s">
        <v>429</v>
      </c>
      <c r="H10" s="55"/>
    </row>
    <row r="11" customFormat="false" ht="18" hidden="false" customHeight="true" outlineLevel="0" collapsed="false">
      <c r="A11" s="54" t="s">
        <v>398</v>
      </c>
      <c r="B11" s="68" t="n">
        <v>1106001</v>
      </c>
      <c r="C11" s="54" t="s">
        <v>432</v>
      </c>
      <c r="D11" s="54" t="s">
        <v>232</v>
      </c>
      <c r="E11" s="69" t="n">
        <f aca="false">IF(D11="ACTIVO",1,IF(D11="PASIVO",2,IF(D11="PERDIDA",3,IF(D11="GANANCIA",4,0))))</f>
        <v>1</v>
      </c>
      <c r="F11" s="54"/>
      <c r="G11" s="54" t="s">
        <v>429</v>
      </c>
      <c r="H11" s="54"/>
    </row>
    <row r="12" customFormat="false" ht="18" hidden="false" customHeight="true" outlineLevel="0" collapsed="false">
      <c r="A12" s="55" t="s">
        <v>398</v>
      </c>
      <c r="B12" s="66" t="n">
        <v>1106002</v>
      </c>
      <c r="C12" s="55" t="s">
        <v>433</v>
      </c>
      <c r="D12" s="55" t="s">
        <v>232</v>
      </c>
      <c r="E12" s="67" t="n">
        <f aca="false">IF(D12="ACTIVO",1,IF(D12="PASIVO",2,IF(D12="PERDIDA",3,IF(D12="GANANCIA",4,0))))</f>
        <v>1</v>
      </c>
      <c r="F12" s="55"/>
      <c r="G12" s="55" t="s">
        <v>429</v>
      </c>
      <c r="H12" s="55"/>
    </row>
    <row r="13" customFormat="false" ht="18" hidden="false" customHeight="true" outlineLevel="0" collapsed="false">
      <c r="A13" s="54" t="s">
        <v>398</v>
      </c>
      <c r="B13" s="68" t="n">
        <v>1106003</v>
      </c>
      <c r="C13" s="54" t="s">
        <v>433</v>
      </c>
      <c r="D13" s="54" t="s">
        <v>232</v>
      </c>
      <c r="E13" s="69" t="n">
        <f aca="false">IF(D13="ACTIVO",1,IF(D13="PASIVO",2,IF(D13="PERDIDA",3,IF(D13="GANANCIA",4,0))))</f>
        <v>1</v>
      </c>
      <c r="F13" s="54"/>
      <c r="G13" s="54" t="s">
        <v>429</v>
      </c>
      <c r="H13" s="54"/>
    </row>
    <row r="14" customFormat="false" ht="18" hidden="false" customHeight="true" outlineLevel="0" collapsed="false">
      <c r="A14" s="55" t="s">
        <v>398</v>
      </c>
      <c r="B14" s="66" t="n">
        <v>1106004</v>
      </c>
      <c r="C14" s="55" t="s">
        <v>433</v>
      </c>
      <c r="D14" s="55" t="s">
        <v>232</v>
      </c>
      <c r="E14" s="67" t="n">
        <f aca="false">IF(D14="ACTIVO",1,IF(D14="PASIVO",2,IF(D14="PERDIDA",3,IF(D14="GANANCIA",4,0))))</f>
        <v>1</v>
      </c>
      <c r="F14" s="55"/>
      <c r="G14" s="55" t="s">
        <v>429</v>
      </c>
      <c r="H14" s="55"/>
    </row>
    <row r="15" customFormat="false" ht="18" hidden="false" customHeight="true" outlineLevel="0" collapsed="false">
      <c r="A15" s="54" t="s">
        <v>398</v>
      </c>
      <c r="B15" s="68" t="n">
        <v>1107001</v>
      </c>
      <c r="C15" s="54" t="s">
        <v>434</v>
      </c>
      <c r="D15" s="54" t="s">
        <v>232</v>
      </c>
      <c r="E15" s="69" t="n">
        <f aca="false">IF(D15="ACTIVO",1,IF(D15="PASIVO",2,IF(D15="PERDIDA",3,IF(D15="GANANCIA",4,0))))</f>
        <v>1</v>
      </c>
      <c r="F15" s="54"/>
      <c r="G15" s="54" t="s">
        <v>429</v>
      </c>
      <c r="H15" s="54"/>
    </row>
    <row r="16" customFormat="false" ht="18" hidden="false" customHeight="true" outlineLevel="0" collapsed="false">
      <c r="A16" s="55" t="s">
        <v>398</v>
      </c>
      <c r="B16" s="66" t="n">
        <v>1107002</v>
      </c>
      <c r="C16" s="55" t="s">
        <v>435</v>
      </c>
      <c r="D16" s="55" t="s">
        <v>232</v>
      </c>
      <c r="E16" s="67" t="n">
        <f aca="false">IF(D16="ACTIVO",1,IF(D16="PASIVO",2,IF(D16="PERDIDA",3,IF(D16="GANANCIA",4,0))))</f>
        <v>1</v>
      </c>
      <c r="F16" s="55"/>
      <c r="G16" s="55" t="s">
        <v>429</v>
      </c>
      <c r="H16" s="55"/>
    </row>
    <row r="17" customFormat="false" ht="18" hidden="false" customHeight="true" outlineLevel="0" collapsed="false">
      <c r="A17" s="54" t="s">
        <v>398</v>
      </c>
      <c r="B17" s="68" t="n">
        <v>1107003</v>
      </c>
      <c r="C17" s="54" t="s">
        <v>436</v>
      </c>
      <c r="D17" s="54" t="s">
        <v>232</v>
      </c>
      <c r="E17" s="69" t="n">
        <f aca="false">IF(D17="ACTIVO",1,IF(D17="PASIVO",2,IF(D17="PERDIDA",3,IF(D17="GANANCIA",4,0))))</f>
        <v>1</v>
      </c>
      <c r="F17" s="54"/>
      <c r="G17" s="54" t="s">
        <v>429</v>
      </c>
      <c r="H17" s="54"/>
    </row>
    <row r="18" customFormat="false" ht="18" hidden="false" customHeight="true" outlineLevel="0" collapsed="false">
      <c r="A18" s="55" t="s">
        <v>398</v>
      </c>
      <c r="B18" s="66" t="n">
        <v>1107101</v>
      </c>
      <c r="C18" s="55" t="s">
        <v>437</v>
      </c>
      <c r="D18" s="55" t="s">
        <v>232</v>
      </c>
      <c r="E18" s="67" t="n">
        <f aca="false">IF(D18="ACTIVO",1,IF(D18="PASIVO",2,IF(D18="PERDIDA",3,IF(D18="GANANCIA",4,0))))</f>
        <v>1</v>
      </c>
      <c r="F18" s="55"/>
      <c r="G18" s="55" t="s">
        <v>429</v>
      </c>
      <c r="H18" s="55"/>
    </row>
    <row r="19" customFormat="false" ht="18" hidden="false" customHeight="true" outlineLevel="0" collapsed="false">
      <c r="A19" s="54" t="s">
        <v>398</v>
      </c>
      <c r="B19" s="68" t="n">
        <v>1107103</v>
      </c>
      <c r="C19" s="54" t="s">
        <v>438</v>
      </c>
      <c r="D19" s="54" t="s">
        <v>232</v>
      </c>
      <c r="E19" s="69" t="n">
        <f aca="false">IF(D19="ACTIVO",1,IF(D19="PASIVO",2,IF(D19="PERDIDA",3,IF(D19="GANANCIA",4,0))))</f>
        <v>1</v>
      </c>
      <c r="F19" s="54"/>
      <c r="G19" s="54" t="s">
        <v>429</v>
      </c>
      <c r="H19" s="54"/>
    </row>
    <row r="20" customFormat="false" ht="18" hidden="false" customHeight="true" outlineLevel="0" collapsed="false">
      <c r="A20" s="55" t="s">
        <v>398</v>
      </c>
      <c r="B20" s="66" t="n">
        <v>1107201</v>
      </c>
      <c r="C20" s="55" t="s">
        <v>439</v>
      </c>
      <c r="D20" s="55" t="s">
        <v>232</v>
      </c>
      <c r="E20" s="67" t="n">
        <f aca="false">IF(D20="ACTIVO",1,IF(D20="PASIVO",2,IF(D20="PERDIDA",3,IF(D20="GANANCIA",4,0))))</f>
        <v>1</v>
      </c>
      <c r="F20" s="55"/>
      <c r="G20" s="55" t="s">
        <v>429</v>
      </c>
      <c r="H20" s="55"/>
    </row>
    <row r="21" customFormat="false" ht="18" hidden="false" customHeight="true" outlineLevel="0" collapsed="false">
      <c r="A21" s="54" t="s">
        <v>398</v>
      </c>
      <c r="B21" s="68" t="n">
        <v>1107301</v>
      </c>
      <c r="C21" s="54" t="s">
        <v>440</v>
      </c>
      <c r="D21" s="54" t="s">
        <v>232</v>
      </c>
      <c r="E21" s="69" t="n">
        <f aca="false">IF(D21="ACTIVO",1,IF(D21="PASIVO",2,IF(D21="PERDIDA",3,IF(D21="GANANCIA",4,0))))</f>
        <v>1</v>
      </c>
      <c r="F21" s="54"/>
      <c r="G21" s="54" t="s">
        <v>429</v>
      </c>
      <c r="H21" s="54"/>
    </row>
    <row r="22" customFormat="false" ht="18" hidden="false" customHeight="true" outlineLevel="0" collapsed="false">
      <c r="A22" s="55" t="s">
        <v>398</v>
      </c>
      <c r="B22" s="66" t="n">
        <v>1107302</v>
      </c>
      <c r="C22" s="55" t="s">
        <v>441</v>
      </c>
      <c r="D22" s="55" t="s">
        <v>232</v>
      </c>
      <c r="E22" s="67" t="n">
        <f aca="false">IF(D22="ACTIVO",1,IF(D22="PASIVO",2,IF(D22="PERDIDA",3,IF(D22="GANANCIA",4,0))))</f>
        <v>1</v>
      </c>
      <c r="F22" s="55"/>
      <c r="G22" s="55" t="s">
        <v>429</v>
      </c>
      <c r="H22" s="55"/>
    </row>
    <row r="23" customFormat="false" ht="18" hidden="false" customHeight="true" outlineLevel="0" collapsed="false">
      <c r="A23" s="54" t="s">
        <v>398</v>
      </c>
      <c r="B23" s="68" t="n">
        <v>1107401</v>
      </c>
      <c r="C23" s="54" t="s">
        <v>442</v>
      </c>
      <c r="D23" s="54" t="s">
        <v>232</v>
      </c>
      <c r="E23" s="69" t="n">
        <f aca="false">IF(D23="ACTIVO",1,IF(D23="PASIVO",2,IF(D23="PERDIDA",3,IF(D23="GANANCIA",4,0))))</f>
        <v>1</v>
      </c>
      <c r="F23" s="54"/>
      <c r="G23" s="54" t="s">
        <v>429</v>
      </c>
      <c r="H23" s="54"/>
    </row>
    <row r="24" customFormat="false" ht="18" hidden="false" customHeight="true" outlineLevel="0" collapsed="false">
      <c r="A24" s="55" t="s">
        <v>398</v>
      </c>
      <c r="B24" s="66" t="n">
        <v>1107402</v>
      </c>
      <c r="C24" s="55" t="s">
        <v>443</v>
      </c>
      <c r="D24" s="55" t="s">
        <v>232</v>
      </c>
      <c r="E24" s="67" t="n">
        <f aca="false">IF(D24="ACTIVO",1,IF(D24="PASIVO",2,IF(D24="PERDIDA",3,IF(D24="GANANCIA",4,0))))</f>
        <v>1</v>
      </c>
      <c r="F24" s="55"/>
      <c r="G24" s="55" t="s">
        <v>429</v>
      </c>
      <c r="H24" s="55"/>
    </row>
    <row r="25" customFormat="false" ht="18" hidden="false" customHeight="true" outlineLevel="0" collapsed="false">
      <c r="A25" s="54" t="s">
        <v>398</v>
      </c>
      <c r="B25" s="68" t="n">
        <v>1107404</v>
      </c>
      <c r="C25" s="54" t="s">
        <v>444</v>
      </c>
      <c r="D25" s="54" t="s">
        <v>232</v>
      </c>
      <c r="E25" s="69" t="n">
        <f aca="false">IF(D25="ACTIVO",1,IF(D25="PASIVO",2,IF(D25="PERDIDA",3,IF(D25="GANANCIA",4,0))))</f>
        <v>1</v>
      </c>
      <c r="F25" s="54"/>
      <c r="G25" s="54" t="s">
        <v>429</v>
      </c>
      <c r="H25" s="54"/>
    </row>
    <row r="26" customFormat="false" ht="18" hidden="false" customHeight="true" outlineLevel="0" collapsed="false">
      <c r="A26" s="55" t="s">
        <v>398</v>
      </c>
      <c r="B26" s="66" t="n">
        <v>1108001</v>
      </c>
      <c r="C26" s="55" t="s">
        <v>445</v>
      </c>
      <c r="D26" s="55" t="s">
        <v>232</v>
      </c>
      <c r="E26" s="67" t="n">
        <f aca="false">IF(D26="ACTIVO",1,IF(D26="PASIVO",2,IF(D26="PERDIDA",3,IF(D26="GANANCIA",4,0))))</f>
        <v>1</v>
      </c>
      <c r="F26" s="55"/>
      <c r="G26" s="55" t="s">
        <v>429</v>
      </c>
      <c r="H26" s="55"/>
    </row>
    <row r="27" customFormat="false" ht="18" hidden="false" customHeight="true" outlineLevel="0" collapsed="false">
      <c r="A27" s="54" t="s">
        <v>398</v>
      </c>
      <c r="B27" s="68" t="n">
        <v>1108002</v>
      </c>
      <c r="C27" s="54" t="s">
        <v>446</v>
      </c>
      <c r="D27" s="54" t="s">
        <v>232</v>
      </c>
      <c r="E27" s="69" t="n">
        <f aca="false">IF(D27="ACTIVO",1,IF(D27="PASIVO",2,IF(D27="PERDIDA",3,IF(D27="GANANCIA",4,0))))</f>
        <v>1</v>
      </c>
      <c r="F27" s="54"/>
      <c r="G27" s="54" t="s">
        <v>429</v>
      </c>
      <c r="H27" s="54"/>
    </row>
    <row r="28" customFormat="false" ht="18" hidden="false" customHeight="true" outlineLevel="0" collapsed="false">
      <c r="A28" s="55" t="s">
        <v>398</v>
      </c>
      <c r="B28" s="66" t="n">
        <v>1110001</v>
      </c>
      <c r="C28" s="55" t="s">
        <v>447</v>
      </c>
      <c r="D28" s="55" t="s">
        <v>232</v>
      </c>
      <c r="E28" s="67" t="n">
        <f aca="false">IF(D28="ACTIVO",1,IF(D28="PASIVO",2,IF(D28="PERDIDA",3,IF(D28="GANANCIA",4,0))))</f>
        <v>1</v>
      </c>
      <c r="F28" s="55"/>
      <c r="G28" s="55" t="s">
        <v>429</v>
      </c>
      <c r="H28" s="55"/>
    </row>
    <row r="29" customFormat="false" ht="18" hidden="false" customHeight="true" outlineLevel="0" collapsed="false">
      <c r="A29" s="54" t="s">
        <v>398</v>
      </c>
      <c r="B29" s="68" t="n">
        <v>1201001</v>
      </c>
      <c r="C29" s="54" t="s">
        <v>448</v>
      </c>
      <c r="D29" s="54" t="s">
        <v>232</v>
      </c>
      <c r="E29" s="69" t="n">
        <f aca="false">IF(D29="ACTIVO",1,IF(D29="PASIVO",2,IF(D29="PERDIDA",3,IF(D29="GANANCIA",4,0))))</f>
        <v>1</v>
      </c>
      <c r="F29" s="54"/>
      <c r="G29" s="54" t="s">
        <v>429</v>
      </c>
      <c r="H29" s="54"/>
    </row>
    <row r="30" customFormat="false" ht="18" hidden="false" customHeight="true" outlineLevel="0" collapsed="false">
      <c r="A30" s="55" t="s">
        <v>398</v>
      </c>
      <c r="B30" s="66" t="n">
        <v>1201002</v>
      </c>
      <c r="C30" s="55" t="s">
        <v>449</v>
      </c>
      <c r="D30" s="55" t="s">
        <v>450</v>
      </c>
      <c r="E30" s="67" t="n">
        <f aca="false">IF(D30="ACTIVO",1,IF(D30="PASIVO",2,IF(D30="PERDIDA",3,IF(D30="GANANCIA",4,0))))</f>
        <v>2</v>
      </c>
      <c r="F30" s="55"/>
      <c r="G30" s="55" t="s">
        <v>429</v>
      </c>
      <c r="H30" s="55"/>
    </row>
    <row r="31" customFormat="false" ht="18" hidden="false" customHeight="true" outlineLevel="0" collapsed="false">
      <c r="A31" s="54" t="s">
        <v>398</v>
      </c>
      <c r="B31" s="68" t="n">
        <v>1201003</v>
      </c>
      <c r="C31" s="54" t="s">
        <v>451</v>
      </c>
      <c r="D31" s="54" t="s">
        <v>232</v>
      </c>
      <c r="E31" s="69" t="n">
        <f aca="false">IF(D31="ACTIVO",1,IF(D31="PASIVO",2,IF(D31="PERDIDA",3,IF(D31="GANANCIA",4,0))))</f>
        <v>1</v>
      </c>
      <c r="F31" s="54"/>
      <c r="G31" s="54" t="s">
        <v>429</v>
      </c>
      <c r="H31" s="54"/>
    </row>
    <row r="32" customFormat="false" ht="18" hidden="false" customHeight="true" outlineLevel="0" collapsed="false">
      <c r="A32" s="55" t="s">
        <v>398</v>
      </c>
      <c r="B32" s="66" t="n">
        <v>1201004</v>
      </c>
      <c r="C32" s="55" t="s">
        <v>452</v>
      </c>
      <c r="D32" s="55" t="s">
        <v>450</v>
      </c>
      <c r="E32" s="67" t="n">
        <f aca="false">IF(D32="ACTIVO",1,IF(D32="PASIVO",2,IF(D32="PERDIDA",3,IF(D32="GANANCIA",4,0))))</f>
        <v>2</v>
      </c>
      <c r="F32" s="55"/>
      <c r="G32" s="55" t="s">
        <v>429</v>
      </c>
      <c r="H32" s="55"/>
    </row>
    <row r="33" customFormat="false" ht="18" hidden="false" customHeight="true" outlineLevel="0" collapsed="false">
      <c r="A33" s="54" t="s">
        <v>398</v>
      </c>
      <c r="B33" s="68" t="n">
        <v>1201005</v>
      </c>
      <c r="C33" s="54" t="s">
        <v>453</v>
      </c>
      <c r="D33" s="54" t="s">
        <v>232</v>
      </c>
      <c r="E33" s="69" t="n">
        <f aca="false">IF(D33="ACTIVO",1,IF(D33="PASIVO",2,IF(D33="PERDIDA",3,IF(D33="GANANCIA",4,0))))</f>
        <v>1</v>
      </c>
      <c r="F33" s="54"/>
      <c r="G33" s="54" t="s">
        <v>429</v>
      </c>
      <c r="H33" s="54"/>
    </row>
    <row r="34" customFormat="false" ht="18" hidden="false" customHeight="true" outlineLevel="0" collapsed="false">
      <c r="A34" s="55" t="s">
        <v>398</v>
      </c>
      <c r="B34" s="66" t="n">
        <v>1201006</v>
      </c>
      <c r="C34" s="55" t="s">
        <v>454</v>
      </c>
      <c r="D34" s="55" t="s">
        <v>450</v>
      </c>
      <c r="E34" s="67" t="n">
        <f aca="false">IF(D34="ACTIVO",1,IF(D34="PASIVO",2,IF(D34="PERDIDA",3,IF(D34="GANANCIA",4,0))))</f>
        <v>2</v>
      </c>
      <c r="F34" s="55"/>
      <c r="G34" s="55" t="s">
        <v>429</v>
      </c>
      <c r="H34" s="55"/>
    </row>
    <row r="35" customFormat="false" ht="18" hidden="false" customHeight="true" outlineLevel="0" collapsed="false">
      <c r="A35" s="54" t="s">
        <v>398</v>
      </c>
      <c r="B35" s="68" t="n">
        <v>1201007</v>
      </c>
      <c r="C35" s="54" t="s">
        <v>455</v>
      </c>
      <c r="D35" s="54" t="s">
        <v>232</v>
      </c>
      <c r="E35" s="69" t="n">
        <f aca="false">IF(D35="ACTIVO",1,IF(D35="PASIVO",2,IF(D35="PERDIDA",3,IF(D35="GANANCIA",4,0))))</f>
        <v>1</v>
      </c>
      <c r="F35" s="54"/>
      <c r="G35" s="54" t="s">
        <v>429</v>
      </c>
      <c r="H35" s="54"/>
    </row>
    <row r="36" customFormat="false" ht="18" hidden="false" customHeight="true" outlineLevel="0" collapsed="false">
      <c r="A36" s="55" t="s">
        <v>398</v>
      </c>
      <c r="B36" s="66" t="n">
        <v>1201008</v>
      </c>
      <c r="C36" s="55" t="s">
        <v>456</v>
      </c>
      <c r="D36" s="55" t="s">
        <v>232</v>
      </c>
      <c r="E36" s="67" t="n">
        <f aca="false">IF(D36="ACTIVO",1,IF(D36="PASIVO",2,IF(D36="PERDIDA",3,IF(D36="GANANCIA",4,0))))</f>
        <v>1</v>
      </c>
      <c r="F36" s="55"/>
      <c r="G36" s="55" t="s">
        <v>429</v>
      </c>
      <c r="H36" s="55"/>
    </row>
    <row r="37" customFormat="false" ht="18" hidden="false" customHeight="true" outlineLevel="0" collapsed="false">
      <c r="A37" s="54" t="s">
        <v>398</v>
      </c>
      <c r="B37" s="68" t="n">
        <v>1201010</v>
      </c>
      <c r="C37" s="54" t="s">
        <v>457</v>
      </c>
      <c r="D37" s="54" t="s">
        <v>232</v>
      </c>
      <c r="E37" s="69" t="n">
        <f aca="false">IF(D37="ACTIVO",1,IF(D37="PASIVO",2,IF(D37="PERDIDA",3,IF(D37="GANANCIA",4,0))))</f>
        <v>1</v>
      </c>
      <c r="F37" s="54"/>
      <c r="G37" s="54" t="s">
        <v>429</v>
      </c>
      <c r="H37" s="54"/>
    </row>
    <row r="38" customFormat="false" ht="18" hidden="false" customHeight="true" outlineLevel="0" collapsed="false">
      <c r="A38" s="55" t="s">
        <v>398</v>
      </c>
      <c r="B38" s="66" t="n">
        <v>1202001</v>
      </c>
      <c r="C38" s="55" t="s">
        <v>458</v>
      </c>
      <c r="D38" s="55" t="s">
        <v>232</v>
      </c>
      <c r="E38" s="67" t="n">
        <f aca="false">IF(D38="ACTIVO",1,IF(D38="PASIVO",2,IF(D38="PERDIDA",3,IF(D38="GANANCIA",4,0))))</f>
        <v>1</v>
      </c>
      <c r="F38" s="55"/>
      <c r="G38" s="55" t="s">
        <v>429</v>
      </c>
      <c r="H38" s="55"/>
    </row>
    <row r="39" customFormat="false" ht="18" hidden="false" customHeight="true" outlineLevel="0" collapsed="false">
      <c r="A39" s="54" t="s">
        <v>398</v>
      </c>
      <c r="B39" s="68" t="n">
        <v>1202003</v>
      </c>
      <c r="C39" s="54" t="s">
        <v>459</v>
      </c>
      <c r="D39" s="54" t="s">
        <v>232</v>
      </c>
      <c r="E39" s="69" t="n">
        <f aca="false">IF(D39="ACTIVO",1,IF(D39="PASIVO",2,IF(D39="PERDIDA",3,IF(D39="GANANCIA",4,0))))</f>
        <v>1</v>
      </c>
      <c r="F39" s="54"/>
      <c r="G39" s="54" t="s">
        <v>429</v>
      </c>
      <c r="H39" s="54"/>
    </row>
    <row r="40" customFormat="false" ht="18" hidden="false" customHeight="true" outlineLevel="0" collapsed="false">
      <c r="A40" s="55" t="s">
        <v>398</v>
      </c>
      <c r="B40" s="66" t="n">
        <v>1202004</v>
      </c>
      <c r="C40" s="55" t="s">
        <v>460</v>
      </c>
      <c r="D40" s="55" t="s">
        <v>232</v>
      </c>
      <c r="E40" s="67" t="n">
        <f aca="false">IF(D40="ACTIVO",1,IF(D40="PASIVO",2,IF(D40="PERDIDA",3,IF(D40="GANANCIA",4,0))))</f>
        <v>1</v>
      </c>
      <c r="F40" s="55"/>
      <c r="G40" s="55" t="s">
        <v>429</v>
      </c>
      <c r="H40" s="55"/>
    </row>
    <row r="41" customFormat="false" ht="18" hidden="false" customHeight="true" outlineLevel="0" collapsed="false">
      <c r="A41" s="54" t="s">
        <v>398</v>
      </c>
      <c r="B41" s="68" t="n">
        <v>1202005</v>
      </c>
      <c r="C41" s="54" t="s">
        <v>461</v>
      </c>
      <c r="D41" s="54" t="s">
        <v>232</v>
      </c>
      <c r="E41" s="69" t="n">
        <f aca="false">IF(D41="ACTIVO",1,IF(D41="PASIVO",2,IF(D41="PERDIDA",3,IF(D41="GANANCIA",4,0))))</f>
        <v>1</v>
      </c>
      <c r="F41" s="54"/>
      <c r="G41" s="54" t="s">
        <v>429</v>
      </c>
      <c r="H41" s="54"/>
    </row>
    <row r="42" customFormat="false" ht="18" hidden="false" customHeight="true" outlineLevel="0" collapsed="false">
      <c r="A42" s="55" t="s">
        <v>398</v>
      </c>
      <c r="B42" s="66" t="n">
        <v>1202006</v>
      </c>
      <c r="C42" s="55" t="s">
        <v>462</v>
      </c>
      <c r="D42" s="55" t="s">
        <v>450</v>
      </c>
      <c r="E42" s="67" t="n">
        <f aca="false">IF(D42="ACTIVO",1,IF(D42="PASIVO",2,IF(D42="PERDIDA",3,IF(D42="GANANCIA",4,0))))</f>
        <v>2</v>
      </c>
      <c r="F42" s="55"/>
      <c r="G42" s="55" t="s">
        <v>429</v>
      </c>
      <c r="H42" s="55"/>
    </row>
    <row r="43" customFormat="false" ht="18" hidden="false" customHeight="true" outlineLevel="0" collapsed="false">
      <c r="A43" s="54" t="s">
        <v>398</v>
      </c>
      <c r="B43" s="68" t="n">
        <v>1202007</v>
      </c>
      <c r="C43" s="54" t="s">
        <v>463</v>
      </c>
      <c r="D43" s="54" t="s">
        <v>232</v>
      </c>
      <c r="E43" s="69" t="n">
        <f aca="false">IF(D43="ACTIVO",1,IF(D43="PASIVO",2,IF(D43="PERDIDA",3,IF(D43="GANANCIA",4,0))))</f>
        <v>1</v>
      </c>
      <c r="F43" s="54"/>
      <c r="G43" s="54" t="s">
        <v>429</v>
      </c>
      <c r="H43" s="54"/>
    </row>
    <row r="44" customFormat="false" ht="18" hidden="false" customHeight="true" outlineLevel="0" collapsed="false">
      <c r="A44" s="55" t="s">
        <v>398</v>
      </c>
      <c r="B44" s="66" t="n">
        <v>1203001</v>
      </c>
      <c r="C44" s="55" t="s">
        <v>464</v>
      </c>
      <c r="D44" s="55" t="s">
        <v>232</v>
      </c>
      <c r="E44" s="67" t="n">
        <f aca="false">IF(D44="ACTIVO",1,IF(D44="PASIVO",2,IF(D44="PERDIDA",3,IF(D44="GANANCIA",4,0))))</f>
        <v>1</v>
      </c>
      <c r="F44" s="55"/>
      <c r="G44" s="55" t="s">
        <v>429</v>
      </c>
      <c r="H44" s="55"/>
    </row>
    <row r="45" customFormat="false" ht="18" hidden="false" customHeight="true" outlineLevel="0" collapsed="false">
      <c r="A45" s="54" t="s">
        <v>398</v>
      </c>
      <c r="B45" s="68" t="n">
        <v>1203002</v>
      </c>
      <c r="C45" s="54" t="s">
        <v>465</v>
      </c>
      <c r="D45" s="54" t="s">
        <v>232</v>
      </c>
      <c r="E45" s="69" t="n">
        <f aca="false">IF(D45="ACTIVO",1,IF(D45="PASIVO",2,IF(D45="PERDIDA",3,IF(D45="GANANCIA",4,0))))</f>
        <v>1</v>
      </c>
      <c r="F45" s="54"/>
      <c r="G45" s="54" t="s">
        <v>429</v>
      </c>
      <c r="H45" s="54"/>
    </row>
    <row r="46" customFormat="false" ht="18" hidden="false" customHeight="true" outlineLevel="0" collapsed="false">
      <c r="A46" s="55" t="s">
        <v>398</v>
      </c>
      <c r="B46" s="66" t="n">
        <v>1203003</v>
      </c>
      <c r="C46" s="55" t="s">
        <v>466</v>
      </c>
      <c r="D46" s="55" t="s">
        <v>450</v>
      </c>
      <c r="E46" s="67" t="n">
        <f aca="false">IF(D46="ACTIVO",1,IF(D46="PASIVO",2,IF(D46="PERDIDA",3,IF(D46="GANANCIA",4,0))))</f>
        <v>2</v>
      </c>
      <c r="F46" s="55"/>
      <c r="G46" s="55" t="s">
        <v>429</v>
      </c>
      <c r="H46" s="55"/>
    </row>
    <row r="47" customFormat="false" ht="18" hidden="false" customHeight="true" outlineLevel="0" collapsed="false">
      <c r="A47" s="54" t="s">
        <v>398</v>
      </c>
      <c r="B47" s="68" t="n">
        <v>1204001</v>
      </c>
      <c r="C47" s="54" t="s">
        <v>467</v>
      </c>
      <c r="D47" s="54" t="s">
        <v>232</v>
      </c>
      <c r="E47" s="69" t="n">
        <f aca="false">IF(D47="ACTIVO",1,IF(D47="PASIVO",2,IF(D47="PERDIDA",3,IF(D47="GANANCIA",4,0))))</f>
        <v>1</v>
      </c>
      <c r="F47" s="54"/>
      <c r="G47" s="54" t="s">
        <v>429</v>
      </c>
      <c r="H47" s="54"/>
    </row>
    <row r="48" customFormat="false" ht="18" hidden="false" customHeight="true" outlineLevel="0" collapsed="false">
      <c r="A48" s="55" t="s">
        <v>398</v>
      </c>
      <c r="B48" s="66" t="n">
        <v>1204009</v>
      </c>
      <c r="C48" s="55" t="s">
        <v>468</v>
      </c>
      <c r="D48" s="55" t="s">
        <v>450</v>
      </c>
      <c r="E48" s="67" t="n">
        <f aca="false">IF(D48="ACTIVO",1,IF(D48="PASIVO",2,IF(D48="PERDIDA",3,IF(D48="GANANCIA",4,0))))</f>
        <v>2</v>
      </c>
      <c r="F48" s="55"/>
      <c r="G48" s="55" t="s">
        <v>429</v>
      </c>
      <c r="H48" s="55"/>
    </row>
    <row r="49" customFormat="false" ht="18" hidden="false" customHeight="true" outlineLevel="0" collapsed="false">
      <c r="A49" s="54" t="s">
        <v>398</v>
      </c>
      <c r="B49" s="68" t="n">
        <v>1205001</v>
      </c>
      <c r="C49" s="54" t="s">
        <v>469</v>
      </c>
      <c r="D49" s="54" t="s">
        <v>232</v>
      </c>
      <c r="E49" s="69" t="n">
        <f aca="false">IF(D49="ACTIVO",1,IF(D49="PASIVO",2,IF(D49="PERDIDA",3,IF(D49="GANANCIA",4,0))))</f>
        <v>1</v>
      </c>
      <c r="F49" s="54"/>
      <c r="G49" s="54" t="s">
        <v>429</v>
      </c>
      <c r="H49" s="54"/>
    </row>
    <row r="50" customFormat="false" ht="18" hidden="false" customHeight="true" outlineLevel="0" collapsed="false">
      <c r="A50" s="55" t="s">
        <v>398</v>
      </c>
      <c r="B50" s="66" t="n">
        <v>1301001</v>
      </c>
      <c r="C50" s="55" t="s">
        <v>470</v>
      </c>
      <c r="D50" s="55" t="s">
        <v>232</v>
      </c>
      <c r="E50" s="67" t="n">
        <f aca="false">IF(D50="ACTIVO",1,IF(D50="PASIVO",2,IF(D50="PERDIDA",3,IF(D50="GANANCIA",4,0))))</f>
        <v>1</v>
      </c>
      <c r="F50" s="55"/>
      <c r="G50" s="55" t="s">
        <v>429</v>
      </c>
      <c r="H50" s="55"/>
    </row>
    <row r="51" customFormat="false" ht="18" hidden="false" customHeight="true" outlineLevel="0" collapsed="false">
      <c r="A51" s="54" t="s">
        <v>398</v>
      </c>
      <c r="B51" s="68" t="n">
        <v>1303001</v>
      </c>
      <c r="C51" s="54" t="s">
        <v>471</v>
      </c>
      <c r="D51" s="54" t="s">
        <v>232</v>
      </c>
      <c r="E51" s="69" t="n">
        <f aca="false">IF(D51="ACTIVO",1,IF(D51="PASIVO",2,IF(D51="PERDIDA",3,IF(D51="GANANCIA",4,0))))</f>
        <v>1</v>
      </c>
      <c r="F51" s="54"/>
      <c r="G51" s="54" t="s">
        <v>429</v>
      </c>
      <c r="H51" s="54"/>
    </row>
    <row r="52" customFormat="false" ht="18" hidden="false" customHeight="true" outlineLevel="0" collapsed="false">
      <c r="A52" s="55" t="s">
        <v>398</v>
      </c>
      <c r="B52" s="66" t="n">
        <v>2102001</v>
      </c>
      <c r="C52" s="55" t="s">
        <v>472</v>
      </c>
      <c r="D52" s="55" t="s">
        <v>450</v>
      </c>
      <c r="E52" s="67" t="n">
        <f aca="false">IF(D52="ACTIVO",1,IF(D52="PASIVO",2,IF(D52="PERDIDA",3,IF(D52="GANANCIA",4,0))))</f>
        <v>2</v>
      </c>
      <c r="F52" s="55"/>
      <c r="G52" s="55" t="s">
        <v>429</v>
      </c>
      <c r="H52" s="55"/>
    </row>
    <row r="53" customFormat="false" ht="18" hidden="false" customHeight="true" outlineLevel="0" collapsed="false">
      <c r="A53" s="54" t="s">
        <v>398</v>
      </c>
      <c r="B53" s="68" t="n">
        <v>2103001</v>
      </c>
      <c r="C53" s="54" t="s">
        <v>473</v>
      </c>
      <c r="D53" s="54" t="s">
        <v>450</v>
      </c>
      <c r="E53" s="69" t="n">
        <f aca="false">IF(D53="ACTIVO",1,IF(D53="PASIVO",2,IF(D53="PERDIDA",3,IF(D53="GANANCIA",4,0))))</f>
        <v>2</v>
      </c>
      <c r="F53" s="54"/>
      <c r="G53" s="54" t="s">
        <v>429</v>
      </c>
      <c r="H53" s="54"/>
    </row>
    <row r="54" customFormat="false" ht="18" hidden="false" customHeight="true" outlineLevel="0" collapsed="false">
      <c r="A54" s="55" t="s">
        <v>398</v>
      </c>
      <c r="B54" s="66" t="n">
        <v>2104001</v>
      </c>
      <c r="C54" s="55" t="s">
        <v>474</v>
      </c>
      <c r="D54" s="55" t="s">
        <v>450</v>
      </c>
      <c r="E54" s="67" t="n">
        <f aca="false">IF(D54="ACTIVO",1,IF(D54="PASIVO",2,IF(D54="PERDIDA",3,IF(D54="GANANCIA",4,0))))</f>
        <v>2</v>
      </c>
      <c r="F54" s="55"/>
      <c r="G54" s="55" t="s">
        <v>429</v>
      </c>
      <c r="H54" s="55"/>
    </row>
    <row r="55" customFormat="false" ht="18" hidden="false" customHeight="true" outlineLevel="0" collapsed="false">
      <c r="A55" s="54" t="s">
        <v>398</v>
      </c>
      <c r="B55" s="68" t="n">
        <v>2104003</v>
      </c>
      <c r="C55" s="54" t="s">
        <v>475</v>
      </c>
      <c r="D55" s="54" t="s">
        <v>450</v>
      </c>
      <c r="E55" s="69" t="n">
        <f aca="false">IF(D55="ACTIVO",1,IF(D55="PASIVO",2,IF(D55="PERDIDA",3,IF(D55="GANANCIA",4,0))))</f>
        <v>2</v>
      </c>
      <c r="F55" s="54"/>
      <c r="G55" s="54" t="s">
        <v>429</v>
      </c>
      <c r="H55" s="54"/>
    </row>
    <row r="56" customFormat="false" ht="18" hidden="false" customHeight="true" outlineLevel="0" collapsed="false">
      <c r="A56" s="55" t="s">
        <v>398</v>
      </c>
      <c r="B56" s="66" t="n">
        <v>2105003</v>
      </c>
      <c r="C56" s="55" t="s">
        <v>476</v>
      </c>
      <c r="D56" s="55" t="s">
        <v>450</v>
      </c>
      <c r="E56" s="67" t="n">
        <f aca="false">IF(D56="ACTIVO",1,IF(D56="PASIVO",2,IF(D56="PERDIDA",3,IF(D56="GANANCIA",4,0))))</f>
        <v>2</v>
      </c>
      <c r="F56" s="55"/>
      <c r="G56" s="55" t="s">
        <v>429</v>
      </c>
      <c r="H56" s="55"/>
    </row>
    <row r="57" customFormat="false" ht="18" hidden="false" customHeight="true" outlineLevel="0" collapsed="false">
      <c r="A57" s="54" t="s">
        <v>398</v>
      </c>
      <c r="B57" s="68" t="n">
        <v>2105004</v>
      </c>
      <c r="C57" s="54" t="s">
        <v>477</v>
      </c>
      <c r="D57" s="54" t="s">
        <v>450</v>
      </c>
      <c r="E57" s="69" t="n">
        <f aca="false">IF(D57="ACTIVO",1,IF(D57="PASIVO",2,IF(D57="PERDIDA",3,IF(D57="GANANCIA",4,0))))</f>
        <v>2</v>
      </c>
      <c r="F57" s="54"/>
      <c r="G57" s="54" t="s">
        <v>429</v>
      </c>
      <c r="H57" s="54"/>
    </row>
    <row r="58" customFormat="false" ht="18" hidden="false" customHeight="true" outlineLevel="0" collapsed="false">
      <c r="A58" s="55" t="s">
        <v>398</v>
      </c>
      <c r="B58" s="66" t="n">
        <v>2105005</v>
      </c>
      <c r="C58" s="55" t="s">
        <v>478</v>
      </c>
      <c r="D58" s="55" t="s">
        <v>450</v>
      </c>
      <c r="E58" s="67" t="n">
        <f aca="false">IF(D58="ACTIVO",1,IF(D58="PASIVO",2,IF(D58="PERDIDA",3,IF(D58="GANANCIA",4,0))))</f>
        <v>2</v>
      </c>
      <c r="F58" s="55"/>
      <c r="G58" s="55" t="s">
        <v>429</v>
      </c>
      <c r="H58" s="55"/>
    </row>
    <row r="59" customFormat="false" ht="18" hidden="false" customHeight="true" outlineLevel="0" collapsed="false">
      <c r="A59" s="54" t="s">
        <v>398</v>
      </c>
      <c r="B59" s="68" t="n">
        <v>2105006</v>
      </c>
      <c r="C59" s="54" t="s">
        <v>479</v>
      </c>
      <c r="D59" s="54" t="s">
        <v>450</v>
      </c>
      <c r="E59" s="69" t="n">
        <f aca="false">IF(D59="ACTIVO",1,IF(D59="PASIVO",2,IF(D59="PERDIDA",3,IF(D59="GANANCIA",4,0))))</f>
        <v>2</v>
      </c>
      <c r="F59" s="54"/>
      <c r="G59" s="54" t="s">
        <v>429</v>
      </c>
      <c r="H59" s="54"/>
    </row>
    <row r="60" customFormat="false" ht="18" hidden="false" customHeight="true" outlineLevel="0" collapsed="false">
      <c r="A60" s="55" t="s">
        <v>398</v>
      </c>
      <c r="B60" s="66" t="n">
        <v>2105101</v>
      </c>
      <c r="C60" s="55" t="s">
        <v>480</v>
      </c>
      <c r="D60" s="55" t="s">
        <v>450</v>
      </c>
      <c r="E60" s="67" t="n">
        <f aca="false">IF(D60="ACTIVO",1,IF(D60="PASIVO",2,IF(D60="PERDIDA",3,IF(D60="GANANCIA",4,0))))</f>
        <v>2</v>
      </c>
      <c r="F60" s="55"/>
      <c r="G60" s="55" t="s">
        <v>429</v>
      </c>
      <c r="H60" s="55"/>
    </row>
    <row r="61" customFormat="false" ht="18" hidden="false" customHeight="true" outlineLevel="0" collapsed="false">
      <c r="A61" s="54" t="s">
        <v>398</v>
      </c>
      <c r="B61" s="68" t="n">
        <v>2105102</v>
      </c>
      <c r="C61" s="54" t="s">
        <v>481</v>
      </c>
      <c r="D61" s="54" t="s">
        <v>450</v>
      </c>
      <c r="E61" s="69" t="n">
        <f aca="false">IF(D61="ACTIVO",1,IF(D61="PASIVO",2,IF(D61="PERDIDA",3,IF(D61="GANANCIA",4,0))))</f>
        <v>2</v>
      </c>
      <c r="F61" s="54"/>
      <c r="G61" s="54" t="s">
        <v>429</v>
      </c>
      <c r="H61" s="54"/>
    </row>
    <row r="62" customFormat="false" ht="18" hidden="false" customHeight="true" outlineLevel="0" collapsed="false">
      <c r="A62" s="55" t="s">
        <v>398</v>
      </c>
      <c r="B62" s="66" t="n">
        <v>2105201</v>
      </c>
      <c r="C62" s="55" t="s">
        <v>482</v>
      </c>
      <c r="D62" s="55" t="s">
        <v>450</v>
      </c>
      <c r="E62" s="67" t="n">
        <f aca="false">IF(D62="ACTIVO",1,IF(D62="PASIVO",2,IF(D62="PERDIDA",3,IF(D62="GANANCIA",4,0))))</f>
        <v>2</v>
      </c>
      <c r="F62" s="55"/>
      <c r="G62" s="55" t="s">
        <v>429</v>
      </c>
      <c r="H62" s="55"/>
    </row>
    <row r="63" customFormat="false" ht="18" hidden="false" customHeight="true" outlineLevel="0" collapsed="false">
      <c r="A63" s="54" t="s">
        <v>398</v>
      </c>
      <c r="B63" s="68" t="n">
        <v>2105401</v>
      </c>
      <c r="C63" s="54" t="s">
        <v>483</v>
      </c>
      <c r="D63" s="54" t="s">
        <v>450</v>
      </c>
      <c r="E63" s="69" t="n">
        <f aca="false">IF(D63="ACTIVO",1,IF(D63="PASIVO",2,IF(D63="PERDIDA",3,IF(D63="GANANCIA",4,0))))</f>
        <v>2</v>
      </c>
      <c r="F63" s="54"/>
      <c r="G63" s="54" t="s">
        <v>429</v>
      </c>
      <c r="H63" s="54"/>
    </row>
    <row r="64" customFormat="false" ht="18" hidden="false" customHeight="true" outlineLevel="0" collapsed="false">
      <c r="A64" s="55" t="s">
        <v>398</v>
      </c>
      <c r="B64" s="66" t="n">
        <v>2106001</v>
      </c>
      <c r="C64" s="55" t="s">
        <v>484</v>
      </c>
      <c r="D64" s="55" t="s">
        <v>450</v>
      </c>
      <c r="E64" s="67" t="n">
        <f aca="false">IF(D64="ACTIVO",1,IF(D64="PASIVO",2,IF(D64="PERDIDA",3,IF(D64="GANANCIA",4,0))))</f>
        <v>2</v>
      </c>
      <c r="F64" s="55"/>
      <c r="G64" s="55" t="s">
        <v>429</v>
      </c>
      <c r="H64" s="55"/>
    </row>
    <row r="65" customFormat="false" ht="18" hidden="false" customHeight="true" outlineLevel="0" collapsed="false">
      <c r="A65" s="54" t="s">
        <v>398</v>
      </c>
      <c r="B65" s="68" t="n">
        <v>2106002</v>
      </c>
      <c r="C65" s="54" t="s">
        <v>485</v>
      </c>
      <c r="D65" s="54" t="s">
        <v>450</v>
      </c>
      <c r="E65" s="69" t="n">
        <f aca="false">IF(D65="ACTIVO",1,IF(D65="PASIVO",2,IF(D65="PERDIDA",3,IF(D65="GANANCIA",4,0))))</f>
        <v>2</v>
      </c>
      <c r="F65" s="54"/>
      <c r="G65" s="54" t="s">
        <v>429</v>
      </c>
      <c r="H65" s="54"/>
    </row>
    <row r="66" customFormat="false" ht="18" hidden="false" customHeight="true" outlineLevel="0" collapsed="false">
      <c r="A66" s="55" t="s">
        <v>398</v>
      </c>
      <c r="B66" s="66" t="n">
        <v>2107001</v>
      </c>
      <c r="C66" s="55" t="s">
        <v>486</v>
      </c>
      <c r="D66" s="55" t="s">
        <v>450</v>
      </c>
      <c r="E66" s="67" t="n">
        <f aca="false">IF(D66="ACTIVO",1,IF(D66="PASIVO",2,IF(D66="PERDIDA",3,IF(D66="GANANCIA",4,0))))</f>
        <v>2</v>
      </c>
      <c r="F66" s="55"/>
      <c r="G66" s="55" t="s">
        <v>429</v>
      </c>
      <c r="H66" s="55"/>
    </row>
    <row r="67" customFormat="false" ht="18" hidden="false" customHeight="true" outlineLevel="0" collapsed="false">
      <c r="A67" s="54" t="s">
        <v>398</v>
      </c>
      <c r="B67" s="68" t="n">
        <v>2108001</v>
      </c>
      <c r="C67" s="54" t="s">
        <v>487</v>
      </c>
      <c r="D67" s="54" t="s">
        <v>450</v>
      </c>
      <c r="E67" s="69" t="n">
        <f aca="false">IF(D67="ACTIVO",1,IF(D67="PASIVO",2,IF(D67="PERDIDA",3,IF(D67="GANANCIA",4,0))))</f>
        <v>2</v>
      </c>
      <c r="F67" s="54"/>
      <c r="G67" s="54" t="s">
        <v>429</v>
      </c>
      <c r="H67" s="54"/>
    </row>
    <row r="68" customFormat="false" ht="18" hidden="false" customHeight="true" outlineLevel="0" collapsed="false">
      <c r="A68" s="55" t="s">
        <v>398</v>
      </c>
      <c r="B68" s="66" t="n">
        <v>2108003</v>
      </c>
      <c r="C68" s="55" t="s">
        <v>488</v>
      </c>
      <c r="D68" s="55" t="s">
        <v>450</v>
      </c>
      <c r="E68" s="67" t="n">
        <f aca="false">IF(D68="ACTIVO",1,IF(D68="PASIVO",2,IF(D68="PERDIDA",3,IF(D68="GANANCIA",4,0))))</f>
        <v>2</v>
      </c>
      <c r="F68" s="55"/>
      <c r="G68" s="55" t="s">
        <v>429</v>
      </c>
      <c r="H68" s="55"/>
    </row>
    <row r="69" customFormat="false" ht="18" hidden="false" customHeight="true" outlineLevel="0" collapsed="false">
      <c r="A69" s="54" t="s">
        <v>398</v>
      </c>
      <c r="B69" s="68" t="n">
        <v>2201001</v>
      </c>
      <c r="C69" s="54" t="s">
        <v>489</v>
      </c>
      <c r="D69" s="54" t="s">
        <v>450</v>
      </c>
      <c r="E69" s="69" t="n">
        <f aca="false">IF(D69="ACTIVO",1,IF(D69="PASIVO",2,IF(D69="PERDIDA",3,IF(D69="GANANCIA",4,0))))</f>
        <v>2</v>
      </c>
      <c r="F69" s="54"/>
      <c r="G69" s="54" t="s">
        <v>429</v>
      </c>
      <c r="H69" s="54"/>
    </row>
    <row r="70" customFormat="false" ht="18" hidden="false" customHeight="true" outlineLevel="0" collapsed="false">
      <c r="A70" s="55" t="s">
        <v>398</v>
      </c>
      <c r="B70" s="66" t="n">
        <v>2201002</v>
      </c>
      <c r="C70" s="55" t="s">
        <v>490</v>
      </c>
      <c r="D70" s="55" t="s">
        <v>450</v>
      </c>
      <c r="E70" s="67" t="n">
        <f aca="false">IF(D70="ACTIVO",1,IF(D70="PASIVO",2,IF(D70="PERDIDA",3,IF(D70="GANANCIA",4,0))))</f>
        <v>2</v>
      </c>
      <c r="F70" s="55"/>
      <c r="G70" s="55" t="s">
        <v>429</v>
      </c>
      <c r="H70" s="55"/>
    </row>
    <row r="71" customFormat="false" ht="18" hidden="false" customHeight="true" outlineLevel="0" collapsed="false">
      <c r="A71" s="54" t="s">
        <v>398</v>
      </c>
      <c r="B71" s="68" t="n">
        <v>2301001</v>
      </c>
      <c r="C71" s="54" t="s">
        <v>491</v>
      </c>
      <c r="D71" s="54" t="s">
        <v>450</v>
      </c>
      <c r="E71" s="69" t="n">
        <f aca="false">IF(D71="ACTIVO",1,IF(D71="PASIVO",2,IF(D71="PERDIDA",3,IF(D71="GANANCIA",4,0))))</f>
        <v>2</v>
      </c>
      <c r="F71" s="54"/>
      <c r="G71" s="54" t="s">
        <v>429</v>
      </c>
      <c r="H71" s="54"/>
    </row>
    <row r="72" customFormat="false" ht="18" hidden="false" customHeight="true" outlineLevel="0" collapsed="false">
      <c r="A72" s="55" t="s">
        <v>398</v>
      </c>
      <c r="B72" s="66" t="n">
        <v>2302001</v>
      </c>
      <c r="C72" s="55" t="s">
        <v>492</v>
      </c>
      <c r="D72" s="55" t="s">
        <v>450</v>
      </c>
      <c r="E72" s="67" t="n">
        <f aca="false">IF(D72="ACTIVO",1,IF(D72="PASIVO",2,IF(D72="PERDIDA",3,IF(D72="GANANCIA",4,0))))</f>
        <v>2</v>
      </c>
      <c r="F72" s="55"/>
      <c r="G72" s="55" t="s">
        <v>429</v>
      </c>
      <c r="H72" s="55"/>
    </row>
    <row r="73" customFormat="false" ht="18" hidden="false" customHeight="true" outlineLevel="0" collapsed="false">
      <c r="A73" s="54" t="s">
        <v>398</v>
      </c>
      <c r="B73" s="68" t="n">
        <v>2302101</v>
      </c>
      <c r="C73" s="54" t="s">
        <v>493</v>
      </c>
      <c r="D73" s="54" t="s">
        <v>450</v>
      </c>
      <c r="E73" s="69" t="n">
        <f aca="false">IF(D73="ACTIVO",1,IF(D73="PASIVO",2,IF(D73="PERDIDA",3,IF(D73="GANANCIA",4,0))))</f>
        <v>2</v>
      </c>
      <c r="F73" s="54"/>
      <c r="G73" s="54" t="s">
        <v>429</v>
      </c>
      <c r="H73" s="54"/>
    </row>
    <row r="74" customFormat="false" ht="18" hidden="false" customHeight="true" outlineLevel="0" collapsed="false">
      <c r="A74" s="55" t="s">
        <v>398</v>
      </c>
      <c r="B74" s="66" t="n">
        <v>2302201</v>
      </c>
      <c r="C74" s="55" t="s">
        <v>494</v>
      </c>
      <c r="D74" s="55" t="s">
        <v>450</v>
      </c>
      <c r="E74" s="67" t="n">
        <f aca="false">IF(D74="ACTIVO",1,IF(D74="PASIVO",2,IF(D74="PERDIDA",3,IF(D74="GANANCIA",4,0))))</f>
        <v>2</v>
      </c>
      <c r="F74" s="55"/>
      <c r="G74" s="55" t="s">
        <v>429</v>
      </c>
      <c r="H74" s="55"/>
    </row>
    <row r="75" customFormat="false" ht="18" hidden="false" customHeight="true" outlineLevel="0" collapsed="false">
      <c r="A75" s="54" t="s">
        <v>398</v>
      </c>
      <c r="B75" s="68" t="n">
        <v>3101001</v>
      </c>
      <c r="C75" s="54" t="s">
        <v>495</v>
      </c>
      <c r="D75" s="54" t="s">
        <v>496</v>
      </c>
      <c r="E75" s="69" t="n">
        <f aca="false">IF(D75="ACTIVO",1,IF(D75="PASIVO",2,IF(D75="PERDIDA",3,IF(D75="GANANCIA",4,0))))</f>
        <v>3</v>
      </c>
      <c r="F75" s="54"/>
      <c r="G75" s="54" t="s">
        <v>429</v>
      </c>
      <c r="H75" s="54"/>
    </row>
    <row r="76" customFormat="false" ht="18" hidden="false" customHeight="true" outlineLevel="0" collapsed="false">
      <c r="A76" s="55" t="s">
        <v>398</v>
      </c>
      <c r="B76" s="66" t="n">
        <v>3101002</v>
      </c>
      <c r="C76" s="55" t="s">
        <v>497</v>
      </c>
      <c r="D76" s="55" t="s">
        <v>496</v>
      </c>
      <c r="E76" s="67" t="n">
        <f aca="false">IF(D76="ACTIVO",1,IF(D76="PASIVO",2,IF(D76="PERDIDA",3,IF(D76="GANANCIA",4,0))))</f>
        <v>3</v>
      </c>
      <c r="F76" s="55"/>
      <c r="G76" s="55" t="s">
        <v>429</v>
      </c>
      <c r="H76" s="55"/>
    </row>
    <row r="77" customFormat="false" ht="18" hidden="false" customHeight="true" outlineLevel="0" collapsed="false">
      <c r="A77" s="54" t="s">
        <v>398</v>
      </c>
      <c r="B77" s="68" t="n">
        <v>3101003</v>
      </c>
      <c r="C77" s="54" t="s">
        <v>498</v>
      </c>
      <c r="D77" s="54" t="s">
        <v>496</v>
      </c>
      <c r="E77" s="69" t="n">
        <f aca="false">IF(D77="ACTIVO",1,IF(D77="PASIVO",2,IF(D77="PERDIDA",3,IF(D77="GANANCIA",4,0))))</f>
        <v>3</v>
      </c>
      <c r="F77" s="54"/>
      <c r="G77" s="54" t="s">
        <v>429</v>
      </c>
      <c r="H77" s="54"/>
    </row>
    <row r="78" customFormat="false" ht="18" hidden="false" customHeight="true" outlineLevel="0" collapsed="false">
      <c r="A78" s="55" t="s">
        <v>398</v>
      </c>
      <c r="B78" s="66" t="n">
        <v>3102002</v>
      </c>
      <c r="C78" s="55" t="s">
        <v>499</v>
      </c>
      <c r="D78" s="55" t="s">
        <v>496</v>
      </c>
      <c r="E78" s="67" t="n">
        <f aca="false">IF(D78="ACTIVO",1,IF(D78="PASIVO",2,IF(D78="PERDIDA",3,IF(D78="GANANCIA",4,0))))</f>
        <v>3</v>
      </c>
      <c r="F78" s="55"/>
      <c r="G78" s="55" t="s">
        <v>429</v>
      </c>
      <c r="H78" s="55"/>
    </row>
    <row r="79" customFormat="false" ht="18" hidden="false" customHeight="true" outlineLevel="0" collapsed="false">
      <c r="A79" s="54" t="s">
        <v>398</v>
      </c>
      <c r="B79" s="68" t="n">
        <v>3103001</v>
      </c>
      <c r="C79" s="54" t="s">
        <v>500</v>
      </c>
      <c r="D79" s="54" t="s">
        <v>496</v>
      </c>
      <c r="E79" s="69" t="n">
        <f aca="false">IF(D79="ACTIVO",1,IF(D79="PASIVO",2,IF(D79="PERDIDA",3,IF(D79="GANANCIA",4,0))))</f>
        <v>3</v>
      </c>
      <c r="F79" s="54"/>
      <c r="G79" s="54" t="s">
        <v>429</v>
      </c>
      <c r="H79" s="54"/>
    </row>
    <row r="80" customFormat="false" ht="18" hidden="false" customHeight="true" outlineLevel="0" collapsed="false">
      <c r="A80" s="55" t="s">
        <v>398</v>
      </c>
      <c r="B80" s="66" t="n">
        <v>3103002</v>
      </c>
      <c r="C80" s="55" t="s">
        <v>501</v>
      </c>
      <c r="D80" s="55" t="s">
        <v>496</v>
      </c>
      <c r="E80" s="67" t="n">
        <f aca="false">IF(D80="ACTIVO",1,IF(D80="PASIVO",2,IF(D80="PERDIDA",3,IF(D80="GANANCIA",4,0))))</f>
        <v>3</v>
      </c>
      <c r="F80" s="55"/>
      <c r="G80" s="55" t="s">
        <v>429</v>
      </c>
      <c r="H80" s="55"/>
    </row>
    <row r="81" customFormat="false" ht="18" hidden="false" customHeight="true" outlineLevel="0" collapsed="false">
      <c r="A81" s="54" t="s">
        <v>398</v>
      </c>
      <c r="B81" s="68" t="n">
        <v>3103003</v>
      </c>
      <c r="C81" s="54" t="s">
        <v>502</v>
      </c>
      <c r="D81" s="54" t="s">
        <v>496</v>
      </c>
      <c r="E81" s="69" t="n">
        <f aca="false">IF(D81="ACTIVO",1,IF(D81="PASIVO",2,IF(D81="PERDIDA",3,IF(D81="GANANCIA",4,0))))</f>
        <v>3</v>
      </c>
      <c r="F81" s="54"/>
      <c r="G81" s="54" t="s">
        <v>429</v>
      </c>
      <c r="H81" s="54"/>
    </row>
    <row r="82" customFormat="false" ht="18" hidden="false" customHeight="true" outlineLevel="0" collapsed="false">
      <c r="A82" s="55" t="s">
        <v>398</v>
      </c>
      <c r="B82" s="66" t="n">
        <v>3103004</v>
      </c>
      <c r="C82" s="55" t="s">
        <v>503</v>
      </c>
      <c r="D82" s="55" t="s">
        <v>496</v>
      </c>
      <c r="E82" s="67" t="n">
        <f aca="false">IF(D82="ACTIVO",1,IF(D82="PASIVO",2,IF(D82="PERDIDA",3,IF(D82="GANANCIA",4,0))))</f>
        <v>3</v>
      </c>
      <c r="F82" s="55"/>
      <c r="G82" s="55" t="s">
        <v>429</v>
      </c>
      <c r="H82" s="55"/>
    </row>
    <row r="83" customFormat="false" ht="18" hidden="false" customHeight="true" outlineLevel="0" collapsed="false">
      <c r="A83" s="54" t="s">
        <v>398</v>
      </c>
      <c r="B83" s="68" t="n">
        <v>3103005</v>
      </c>
      <c r="C83" s="54" t="s">
        <v>504</v>
      </c>
      <c r="D83" s="54" t="s">
        <v>496</v>
      </c>
      <c r="E83" s="69" t="n">
        <f aca="false">IF(D83="ACTIVO",1,IF(D83="PASIVO",2,IF(D83="PERDIDA",3,IF(D83="GANANCIA",4,0))))</f>
        <v>3</v>
      </c>
      <c r="F83" s="54"/>
      <c r="G83" s="54" t="s">
        <v>429</v>
      </c>
      <c r="H83" s="54"/>
    </row>
    <row r="84" customFormat="false" ht="18" hidden="false" customHeight="true" outlineLevel="0" collapsed="false">
      <c r="A84" s="55" t="s">
        <v>398</v>
      </c>
      <c r="B84" s="66" t="n">
        <v>3103006</v>
      </c>
      <c r="C84" s="55" t="s">
        <v>505</v>
      </c>
      <c r="D84" s="55" t="s">
        <v>496</v>
      </c>
      <c r="E84" s="67" t="n">
        <f aca="false">IF(D84="ACTIVO",1,IF(D84="PASIVO",2,IF(D84="PERDIDA",3,IF(D84="GANANCIA",4,0))))</f>
        <v>3</v>
      </c>
      <c r="F84" s="55"/>
      <c r="G84" s="55" t="s">
        <v>429</v>
      </c>
      <c r="H84" s="55"/>
    </row>
    <row r="85" customFormat="false" ht="18" hidden="false" customHeight="true" outlineLevel="0" collapsed="false">
      <c r="A85" s="54" t="s">
        <v>398</v>
      </c>
      <c r="B85" s="68" t="n">
        <v>3103007</v>
      </c>
      <c r="C85" s="54" t="s">
        <v>506</v>
      </c>
      <c r="D85" s="54" t="s">
        <v>496</v>
      </c>
      <c r="E85" s="69" t="n">
        <f aca="false">IF(D85="ACTIVO",1,IF(D85="PASIVO",2,IF(D85="PERDIDA",3,IF(D85="GANANCIA",4,0))))</f>
        <v>3</v>
      </c>
      <c r="F85" s="54"/>
      <c r="G85" s="54" t="s">
        <v>429</v>
      </c>
      <c r="H85" s="54"/>
    </row>
    <row r="86" customFormat="false" ht="18" hidden="false" customHeight="true" outlineLevel="0" collapsed="false">
      <c r="A86" s="55" t="s">
        <v>398</v>
      </c>
      <c r="B86" s="66" t="n">
        <v>3103008</v>
      </c>
      <c r="C86" s="55" t="s">
        <v>507</v>
      </c>
      <c r="D86" s="55" t="s">
        <v>496</v>
      </c>
      <c r="E86" s="67" t="n">
        <f aca="false">IF(D86="ACTIVO",1,IF(D86="PASIVO",2,IF(D86="PERDIDA",3,IF(D86="GANANCIA",4,0))))</f>
        <v>3</v>
      </c>
      <c r="F86" s="55"/>
      <c r="G86" s="55" t="s">
        <v>429</v>
      </c>
      <c r="H86" s="55"/>
    </row>
    <row r="87" customFormat="false" ht="18" hidden="false" customHeight="true" outlineLevel="0" collapsed="false">
      <c r="A87" s="54" t="s">
        <v>398</v>
      </c>
      <c r="B87" s="68" t="n">
        <v>3103009</v>
      </c>
      <c r="C87" s="54" t="s">
        <v>508</v>
      </c>
      <c r="D87" s="54" t="s">
        <v>496</v>
      </c>
      <c r="E87" s="69" t="n">
        <f aca="false">IF(D87="ACTIVO",1,IF(D87="PASIVO",2,IF(D87="PERDIDA",3,IF(D87="GANANCIA",4,0))))</f>
        <v>3</v>
      </c>
      <c r="F87" s="54"/>
      <c r="G87" s="54" t="s">
        <v>429</v>
      </c>
      <c r="H87" s="54"/>
    </row>
    <row r="88" customFormat="false" ht="18" hidden="false" customHeight="true" outlineLevel="0" collapsed="false">
      <c r="A88" s="55" t="s">
        <v>398</v>
      </c>
      <c r="B88" s="66" t="n">
        <v>3103010</v>
      </c>
      <c r="C88" s="55" t="s">
        <v>509</v>
      </c>
      <c r="D88" s="55" t="s">
        <v>496</v>
      </c>
      <c r="E88" s="67" t="n">
        <f aca="false">IF(D88="ACTIVO",1,IF(D88="PASIVO",2,IF(D88="PERDIDA",3,IF(D88="GANANCIA",4,0))))</f>
        <v>3</v>
      </c>
      <c r="F88" s="55"/>
      <c r="G88" s="55" t="s">
        <v>429</v>
      </c>
      <c r="H88" s="55"/>
    </row>
    <row r="89" customFormat="false" ht="18" hidden="false" customHeight="true" outlineLevel="0" collapsed="false">
      <c r="A89" s="54" t="s">
        <v>398</v>
      </c>
      <c r="B89" s="68" t="n">
        <v>3201001</v>
      </c>
      <c r="C89" s="54" t="s">
        <v>510</v>
      </c>
      <c r="D89" s="54" t="s">
        <v>496</v>
      </c>
      <c r="E89" s="69" t="n">
        <f aca="false">IF(D89="ACTIVO",1,IF(D89="PASIVO",2,IF(D89="PERDIDA",3,IF(D89="GANANCIA",4,0))))</f>
        <v>3</v>
      </c>
      <c r="F89" s="54"/>
      <c r="G89" s="54" t="s">
        <v>429</v>
      </c>
      <c r="H89" s="54"/>
    </row>
    <row r="90" customFormat="false" ht="18" hidden="false" customHeight="true" outlineLevel="0" collapsed="false">
      <c r="A90" s="55" t="s">
        <v>398</v>
      </c>
      <c r="B90" s="66" t="n">
        <v>3201101</v>
      </c>
      <c r="C90" s="55" t="s">
        <v>511</v>
      </c>
      <c r="D90" s="55" t="s">
        <v>496</v>
      </c>
      <c r="E90" s="67" t="n">
        <f aca="false">IF(D90="ACTIVO",1,IF(D90="PASIVO",2,IF(D90="PERDIDA",3,IF(D90="GANANCIA",4,0))))</f>
        <v>3</v>
      </c>
      <c r="F90" s="55"/>
      <c r="G90" s="55" t="s">
        <v>429</v>
      </c>
      <c r="H90" s="55"/>
    </row>
    <row r="91" customFormat="false" ht="18" hidden="false" customHeight="true" outlineLevel="0" collapsed="false">
      <c r="A91" s="54" t="s">
        <v>398</v>
      </c>
      <c r="B91" s="68" t="n">
        <v>3201102</v>
      </c>
      <c r="C91" s="54" t="s">
        <v>512</v>
      </c>
      <c r="D91" s="54" t="s">
        <v>496</v>
      </c>
      <c r="E91" s="69" t="n">
        <f aca="false">IF(D91="ACTIVO",1,IF(D91="PASIVO",2,IF(D91="PERDIDA",3,IF(D91="GANANCIA",4,0))))</f>
        <v>3</v>
      </c>
      <c r="F91" s="54"/>
      <c r="G91" s="54" t="s">
        <v>429</v>
      </c>
      <c r="H91" s="54"/>
    </row>
    <row r="92" customFormat="false" ht="18" hidden="false" customHeight="true" outlineLevel="0" collapsed="false">
      <c r="A92" s="55" t="s">
        <v>398</v>
      </c>
      <c r="B92" s="66" t="n">
        <v>3201103</v>
      </c>
      <c r="C92" s="55" t="s">
        <v>513</v>
      </c>
      <c r="D92" s="55" t="s">
        <v>496</v>
      </c>
      <c r="E92" s="67" t="n">
        <f aca="false">IF(D92="ACTIVO",1,IF(D92="PASIVO",2,IF(D92="PERDIDA",3,IF(D92="GANANCIA",4,0))))</f>
        <v>3</v>
      </c>
      <c r="F92" s="55"/>
      <c r="G92" s="55" t="s">
        <v>429</v>
      </c>
      <c r="H92" s="55"/>
    </row>
    <row r="93" customFormat="false" ht="18" hidden="false" customHeight="true" outlineLevel="0" collapsed="false">
      <c r="A93" s="54" t="s">
        <v>398</v>
      </c>
      <c r="B93" s="68" t="n">
        <v>3201104</v>
      </c>
      <c r="C93" s="54" t="s">
        <v>514</v>
      </c>
      <c r="D93" s="54" t="s">
        <v>496</v>
      </c>
      <c r="E93" s="69" t="n">
        <f aca="false">IF(D93="ACTIVO",1,IF(D93="PASIVO",2,IF(D93="PERDIDA",3,IF(D93="GANANCIA",4,0))))</f>
        <v>3</v>
      </c>
      <c r="F93" s="54"/>
      <c r="G93" s="54" t="s">
        <v>429</v>
      </c>
      <c r="H93" s="54"/>
    </row>
    <row r="94" customFormat="false" ht="18" hidden="false" customHeight="true" outlineLevel="0" collapsed="false">
      <c r="A94" s="55" t="s">
        <v>398</v>
      </c>
      <c r="B94" s="66" t="n">
        <v>3201401</v>
      </c>
      <c r="C94" s="55" t="s">
        <v>515</v>
      </c>
      <c r="D94" s="55" t="s">
        <v>496</v>
      </c>
      <c r="E94" s="67" t="n">
        <f aca="false">IF(D94="ACTIVO",1,IF(D94="PASIVO",2,IF(D94="PERDIDA",3,IF(D94="GANANCIA",4,0))))</f>
        <v>3</v>
      </c>
      <c r="F94" s="55"/>
      <c r="G94" s="55" t="s">
        <v>429</v>
      </c>
      <c r="H94" s="55"/>
    </row>
    <row r="95" customFormat="false" ht="18" hidden="false" customHeight="true" outlineLevel="0" collapsed="false">
      <c r="A95" s="54" t="s">
        <v>398</v>
      </c>
      <c r="B95" s="68" t="n">
        <v>3201402</v>
      </c>
      <c r="C95" s="54" t="s">
        <v>516</v>
      </c>
      <c r="D95" s="54" t="s">
        <v>496</v>
      </c>
      <c r="E95" s="69" t="n">
        <f aca="false">IF(D95="ACTIVO",1,IF(D95="PASIVO",2,IF(D95="PERDIDA",3,IF(D95="GANANCIA",4,0))))</f>
        <v>3</v>
      </c>
      <c r="F95" s="54"/>
      <c r="G95" s="54" t="s">
        <v>429</v>
      </c>
      <c r="H95" s="54"/>
    </row>
    <row r="96" customFormat="false" ht="18" hidden="false" customHeight="true" outlineLevel="0" collapsed="false">
      <c r="A96" s="55" t="s">
        <v>398</v>
      </c>
      <c r="B96" s="66" t="n">
        <v>3201403</v>
      </c>
      <c r="C96" s="55" t="s">
        <v>517</v>
      </c>
      <c r="D96" s="55" t="s">
        <v>496</v>
      </c>
      <c r="E96" s="67" t="n">
        <f aca="false">IF(D96="ACTIVO",1,IF(D96="PASIVO",2,IF(D96="PERDIDA",3,IF(D96="GANANCIA",4,0))))</f>
        <v>3</v>
      </c>
      <c r="F96" s="55"/>
      <c r="G96" s="55" t="s">
        <v>429</v>
      </c>
      <c r="H96" s="55"/>
    </row>
    <row r="97" customFormat="false" ht="18" hidden="false" customHeight="true" outlineLevel="0" collapsed="false">
      <c r="A97" s="54" t="s">
        <v>398</v>
      </c>
      <c r="B97" s="68" t="n">
        <v>3201404</v>
      </c>
      <c r="C97" s="54" t="s">
        <v>518</v>
      </c>
      <c r="D97" s="54" t="s">
        <v>496</v>
      </c>
      <c r="E97" s="69" t="n">
        <f aca="false">IF(D97="ACTIVO",1,IF(D97="PASIVO",2,IF(D97="PERDIDA",3,IF(D97="GANANCIA",4,0))))</f>
        <v>3</v>
      </c>
      <c r="F97" s="54"/>
      <c r="G97" s="54" t="s">
        <v>429</v>
      </c>
      <c r="H97" s="54"/>
    </row>
    <row r="98" customFormat="false" ht="18" hidden="false" customHeight="true" outlineLevel="0" collapsed="false">
      <c r="A98" s="55" t="s">
        <v>398</v>
      </c>
      <c r="B98" s="66" t="n">
        <v>3201501</v>
      </c>
      <c r="C98" s="55" t="s">
        <v>519</v>
      </c>
      <c r="D98" s="55" t="s">
        <v>496</v>
      </c>
      <c r="E98" s="67" t="n">
        <f aca="false">IF(D98="ACTIVO",1,IF(D98="PASIVO",2,IF(D98="PERDIDA",3,IF(D98="GANANCIA",4,0))))</f>
        <v>3</v>
      </c>
      <c r="F98" s="55"/>
      <c r="G98" s="55" t="s">
        <v>429</v>
      </c>
      <c r="H98" s="55"/>
    </row>
    <row r="99" customFormat="false" ht="18" hidden="false" customHeight="true" outlineLevel="0" collapsed="false">
      <c r="A99" s="54" t="s">
        <v>398</v>
      </c>
      <c r="B99" s="68" t="n">
        <v>4101001</v>
      </c>
      <c r="C99" s="54" t="s">
        <v>520</v>
      </c>
      <c r="D99" s="54" t="s">
        <v>521</v>
      </c>
      <c r="E99" s="69" t="n">
        <f aca="false">IF(D99="ACTIVO",1,IF(D99="PASIVO",2,IF(D99="PERDIDA",3,IF(D99="GANANCIA",4,0))))</f>
        <v>4</v>
      </c>
      <c r="F99" s="54"/>
      <c r="G99" s="54" t="s">
        <v>429</v>
      </c>
      <c r="H99" s="54"/>
    </row>
    <row r="100" customFormat="false" ht="18" hidden="false" customHeight="true" outlineLevel="0" collapsed="false">
      <c r="A100" s="55" t="s">
        <v>398</v>
      </c>
      <c r="B100" s="66" t="n">
        <v>4101002</v>
      </c>
      <c r="C100" s="55" t="s">
        <v>522</v>
      </c>
      <c r="D100" s="55" t="s">
        <v>521</v>
      </c>
      <c r="E100" s="67" t="n">
        <f aca="false">IF(D100="ACTIVO",1,IF(D100="PASIVO",2,IF(D100="PERDIDA",3,IF(D100="GANANCIA",4,0))))</f>
        <v>4</v>
      </c>
      <c r="F100" s="55"/>
      <c r="G100" s="55" t="s">
        <v>429</v>
      </c>
      <c r="H100" s="55"/>
    </row>
    <row r="101" customFormat="false" ht="18" hidden="false" customHeight="true" outlineLevel="0" collapsed="false">
      <c r="A101" s="54" t="s">
        <v>398</v>
      </c>
      <c r="B101" s="68" t="n">
        <v>4201101</v>
      </c>
      <c r="C101" s="54" t="s">
        <v>523</v>
      </c>
      <c r="D101" s="54" t="s">
        <v>521</v>
      </c>
      <c r="E101" s="69" t="n">
        <f aca="false">IF(D101="ACTIVO",1,IF(D101="PASIVO",2,IF(D101="PERDIDA",3,IF(D101="GANANCIA",4,0))))</f>
        <v>4</v>
      </c>
      <c r="F101" s="54"/>
      <c r="G101" s="54" t="s">
        <v>429</v>
      </c>
      <c r="H101" s="54"/>
    </row>
    <row r="102" customFormat="false" ht="18" hidden="false" customHeight="true" outlineLevel="0" collapsed="false">
      <c r="A102" s="55" t="s">
        <v>398</v>
      </c>
      <c r="B102" s="66" t="n">
        <v>4201102</v>
      </c>
      <c r="C102" s="55" t="s">
        <v>524</v>
      </c>
      <c r="D102" s="55" t="s">
        <v>521</v>
      </c>
      <c r="E102" s="67" t="n">
        <f aca="false">IF(D102="ACTIVO",1,IF(D102="PASIVO",2,IF(D102="PERDIDA",3,IF(D102="GANANCIA",4,0))))</f>
        <v>4</v>
      </c>
      <c r="F102" s="55"/>
      <c r="G102" s="55" t="s">
        <v>429</v>
      </c>
      <c r="H102" s="55"/>
    </row>
    <row r="103" customFormat="false" ht="18" hidden="false" customHeight="true" outlineLevel="0" collapsed="false">
      <c r="A103" s="54" t="s">
        <v>525</v>
      </c>
      <c r="B103" s="68" t="n">
        <v>1101001</v>
      </c>
      <c r="C103" s="54" t="s">
        <v>428</v>
      </c>
      <c r="D103" s="54" t="s">
        <v>232</v>
      </c>
      <c r="E103" s="69" t="n">
        <f aca="false">IF(D103="ACTIVO",1,IF(D103="PASIVO",2,IF(D103="PERDIDA",3,IF(D103="GANANCIA",4,0))))</f>
        <v>1</v>
      </c>
      <c r="F103" s="54"/>
      <c r="G103" s="54" t="s">
        <v>429</v>
      </c>
      <c r="H103" s="54"/>
    </row>
    <row r="104" customFormat="false" ht="18" hidden="false" customHeight="true" outlineLevel="0" collapsed="false">
      <c r="A104" s="55" t="s">
        <v>525</v>
      </c>
      <c r="B104" s="66" t="n">
        <v>1101002</v>
      </c>
      <c r="C104" s="55" t="s">
        <v>430</v>
      </c>
      <c r="D104" s="55" t="s">
        <v>232</v>
      </c>
      <c r="E104" s="67" t="n">
        <f aca="false">IF(D104="ACTIVO",1,IF(D104="PASIVO",2,IF(D104="PERDIDA",3,IF(D104="GANANCIA",4,0))))</f>
        <v>1</v>
      </c>
      <c r="F104" s="55"/>
      <c r="G104" s="55" t="s">
        <v>429</v>
      </c>
      <c r="H104" s="55"/>
    </row>
    <row r="105" customFormat="false" ht="18" hidden="false" customHeight="true" outlineLevel="0" collapsed="false">
      <c r="A105" s="54" t="s">
        <v>525</v>
      </c>
      <c r="B105" s="68" t="n">
        <v>1104001</v>
      </c>
      <c r="C105" s="54" t="s">
        <v>431</v>
      </c>
      <c r="D105" s="54" t="s">
        <v>232</v>
      </c>
      <c r="E105" s="69" t="n">
        <f aca="false">IF(D105="ACTIVO",1,IF(D105="PASIVO",2,IF(D105="PERDIDA",3,IF(D105="GANANCIA",4,0))))</f>
        <v>1</v>
      </c>
      <c r="F105" s="54"/>
      <c r="G105" s="54" t="s">
        <v>429</v>
      </c>
      <c r="H105" s="54"/>
    </row>
    <row r="106" customFormat="false" ht="18" hidden="false" customHeight="true" outlineLevel="0" collapsed="false">
      <c r="A106" s="55" t="s">
        <v>525</v>
      </c>
      <c r="B106" s="66" t="n">
        <v>1106001</v>
      </c>
      <c r="C106" s="55" t="s">
        <v>432</v>
      </c>
      <c r="D106" s="55" t="s">
        <v>232</v>
      </c>
      <c r="E106" s="67" t="n">
        <f aca="false">IF(D106="ACTIVO",1,IF(D106="PASIVO",2,IF(D106="PERDIDA",3,IF(D106="GANANCIA",4,0))))</f>
        <v>1</v>
      </c>
      <c r="F106" s="55"/>
      <c r="G106" s="55" t="s">
        <v>429</v>
      </c>
      <c r="H106" s="55"/>
    </row>
    <row r="107" customFormat="false" ht="18" hidden="false" customHeight="true" outlineLevel="0" collapsed="false">
      <c r="A107" s="54" t="s">
        <v>525</v>
      </c>
      <c r="B107" s="68" t="n">
        <v>1106002</v>
      </c>
      <c r="C107" s="54" t="s">
        <v>433</v>
      </c>
      <c r="D107" s="54" t="s">
        <v>232</v>
      </c>
      <c r="E107" s="69" t="n">
        <f aca="false">IF(D107="ACTIVO",1,IF(D107="PASIVO",2,IF(D107="PERDIDA",3,IF(D107="GANANCIA",4,0))))</f>
        <v>1</v>
      </c>
      <c r="F107" s="54"/>
      <c r="G107" s="54" t="s">
        <v>429</v>
      </c>
      <c r="H107" s="54"/>
    </row>
    <row r="108" customFormat="false" ht="18" hidden="false" customHeight="true" outlineLevel="0" collapsed="false">
      <c r="A108" s="55" t="s">
        <v>525</v>
      </c>
      <c r="B108" s="66" t="n">
        <v>1106003</v>
      </c>
      <c r="C108" s="55" t="s">
        <v>433</v>
      </c>
      <c r="D108" s="55" t="s">
        <v>232</v>
      </c>
      <c r="E108" s="67" t="n">
        <f aca="false">IF(D108="ACTIVO",1,IF(D108="PASIVO",2,IF(D108="PERDIDA",3,IF(D108="GANANCIA",4,0))))</f>
        <v>1</v>
      </c>
      <c r="F108" s="55"/>
      <c r="G108" s="55" t="s">
        <v>429</v>
      </c>
      <c r="H108" s="55"/>
    </row>
    <row r="109" customFormat="false" ht="18" hidden="false" customHeight="true" outlineLevel="0" collapsed="false">
      <c r="A109" s="54" t="s">
        <v>525</v>
      </c>
      <c r="B109" s="68" t="n">
        <v>1106004</v>
      </c>
      <c r="C109" s="54" t="s">
        <v>433</v>
      </c>
      <c r="D109" s="54" t="s">
        <v>232</v>
      </c>
      <c r="E109" s="69" t="n">
        <f aca="false">IF(D109="ACTIVO",1,IF(D109="PASIVO",2,IF(D109="PERDIDA",3,IF(D109="GANANCIA",4,0))))</f>
        <v>1</v>
      </c>
      <c r="F109" s="54"/>
      <c r="G109" s="54" t="s">
        <v>429</v>
      </c>
      <c r="H109" s="54"/>
    </row>
    <row r="110" customFormat="false" ht="18" hidden="false" customHeight="true" outlineLevel="0" collapsed="false">
      <c r="A110" s="55" t="s">
        <v>525</v>
      </c>
      <c r="B110" s="66" t="n">
        <v>1107001</v>
      </c>
      <c r="C110" s="55" t="s">
        <v>434</v>
      </c>
      <c r="D110" s="55" t="s">
        <v>232</v>
      </c>
      <c r="E110" s="67" t="n">
        <f aca="false">IF(D110="ACTIVO",1,IF(D110="PASIVO",2,IF(D110="PERDIDA",3,IF(D110="GANANCIA",4,0))))</f>
        <v>1</v>
      </c>
      <c r="F110" s="55"/>
      <c r="G110" s="55" t="s">
        <v>429</v>
      </c>
      <c r="H110" s="55"/>
    </row>
    <row r="111" customFormat="false" ht="18" hidden="false" customHeight="true" outlineLevel="0" collapsed="false">
      <c r="A111" s="54" t="s">
        <v>525</v>
      </c>
      <c r="B111" s="68" t="n">
        <v>1107002</v>
      </c>
      <c r="C111" s="54" t="s">
        <v>435</v>
      </c>
      <c r="D111" s="54" t="s">
        <v>232</v>
      </c>
      <c r="E111" s="69" t="n">
        <f aca="false">IF(D111="ACTIVO",1,IF(D111="PASIVO",2,IF(D111="PERDIDA",3,IF(D111="GANANCIA",4,0))))</f>
        <v>1</v>
      </c>
      <c r="F111" s="54"/>
      <c r="G111" s="54" t="s">
        <v>429</v>
      </c>
      <c r="H111" s="54"/>
    </row>
    <row r="112" customFormat="false" ht="18" hidden="false" customHeight="true" outlineLevel="0" collapsed="false">
      <c r="A112" s="55" t="s">
        <v>525</v>
      </c>
      <c r="B112" s="66" t="n">
        <v>1107003</v>
      </c>
      <c r="C112" s="55" t="s">
        <v>436</v>
      </c>
      <c r="D112" s="55" t="s">
        <v>232</v>
      </c>
      <c r="E112" s="67" t="n">
        <f aca="false">IF(D112="ACTIVO",1,IF(D112="PASIVO",2,IF(D112="PERDIDA",3,IF(D112="GANANCIA",4,0))))</f>
        <v>1</v>
      </c>
      <c r="F112" s="55"/>
      <c r="G112" s="55" t="s">
        <v>429</v>
      </c>
      <c r="H112" s="55"/>
    </row>
    <row r="113" customFormat="false" ht="18" hidden="false" customHeight="true" outlineLevel="0" collapsed="false">
      <c r="A113" s="54" t="s">
        <v>525</v>
      </c>
      <c r="B113" s="68" t="n">
        <v>1107101</v>
      </c>
      <c r="C113" s="54" t="s">
        <v>437</v>
      </c>
      <c r="D113" s="54" t="s">
        <v>232</v>
      </c>
      <c r="E113" s="69" t="n">
        <f aca="false">IF(D113="ACTIVO",1,IF(D113="PASIVO",2,IF(D113="PERDIDA",3,IF(D113="GANANCIA",4,0))))</f>
        <v>1</v>
      </c>
      <c r="F113" s="54"/>
      <c r="G113" s="54" t="s">
        <v>429</v>
      </c>
      <c r="H113" s="54"/>
    </row>
    <row r="114" customFormat="false" ht="18" hidden="false" customHeight="true" outlineLevel="0" collapsed="false">
      <c r="A114" s="55" t="s">
        <v>525</v>
      </c>
      <c r="B114" s="66" t="n">
        <v>1107103</v>
      </c>
      <c r="C114" s="55" t="s">
        <v>438</v>
      </c>
      <c r="D114" s="55" t="s">
        <v>232</v>
      </c>
      <c r="E114" s="67" t="n">
        <f aca="false">IF(D114="ACTIVO",1,IF(D114="PASIVO",2,IF(D114="PERDIDA",3,IF(D114="GANANCIA",4,0))))</f>
        <v>1</v>
      </c>
      <c r="F114" s="55"/>
      <c r="G114" s="55" t="s">
        <v>429</v>
      </c>
      <c r="H114" s="55"/>
    </row>
    <row r="115" customFormat="false" ht="18" hidden="false" customHeight="true" outlineLevel="0" collapsed="false">
      <c r="A115" s="54" t="s">
        <v>525</v>
      </c>
      <c r="B115" s="68" t="n">
        <v>1107201</v>
      </c>
      <c r="C115" s="54" t="s">
        <v>439</v>
      </c>
      <c r="D115" s="54" t="s">
        <v>232</v>
      </c>
      <c r="E115" s="69" t="n">
        <f aca="false">IF(D115="ACTIVO",1,IF(D115="PASIVO",2,IF(D115="PERDIDA",3,IF(D115="GANANCIA",4,0))))</f>
        <v>1</v>
      </c>
      <c r="F115" s="54"/>
      <c r="G115" s="54" t="s">
        <v>429</v>
      </c>
      <c r="H115" s="54"/>
    </row>
    <row r="116" customFormat="false" ht="18" hidden="false" customHeight="true" outlineLevel="0" collapsed="false">
      <c r="A116" s="55" t="s">
        <v>525</v>
      </c>
      <c r="B116" s="66" t="n">
        <v>1107301</v>
      </c>
      <c r="C116" s="55" t="s">
        <v>440</v>
      </c>
      <c r="D116" s="55" t="s">
        <v>232</v>
      </c>
      <c r="E116" s="67" t="n">
        <f aca="false">IF(D116="ACTIVO",1,IF(D116="PASIVO",2,IF(D116="PERDIDA",3,IF(D116="GANANCIA",4,0))))</f>
        <v>1</v>
      </c>
      <c r="F116" s="55"/>
      <c r="G116" s="55" t="s">
        <v>429</v>
      </c>
      <c r="H116" s="55"/>
    </row>
    <row r="117" customFormat="false" ht="18" hidden="false" customHeight="true" outlineLevel="0" collapsed="false">
      <c r="A117" s="54" t="s">
        <v>525</v>
      </c>
      <c r="B117" s="68" t="n">
        <v>1107302</v>
      </c>
      <c r="C117" s="54" t="s">
        <v>441</v>
      </c>
      <c r="D117" s="54" t="s">
        <v>232</v>
      </c>
      <c r="E117" s="69" t="n">
        <f aca="false">IF(D117="ACTIVO",1,IF(D117="PASIVO",2,IF(D117="PERDIDA",3,IF(D117="GANANCIA",4,0))))</f>
        <v>1</v>
      </c>
      <c r="F117" s="54"/>
      <c r="G117" s="54" t="s">
        <v>429</v>
      </c>
      <c r="H117" s="54"/>
    </row>
    <row r="118" customFormat="false" ht="18" hidden="false" customHeight="true" outlineLevel="0" collapsed="false">
      <c r="A118" s="55" t="s">
        <v>525</v>
      </c>
      <c r="B118" s="66" t="n">
        <v>1107401</v>
      </c>
      <c r="C118" s="55" t="s">
        <v>442</v>
      </c>
      <c r="D118" s="55" t="s">
        <v>232</v>
      </c>
      <c r="E118" s="67" t="n">
        <f aca="false">IF(D118="ACTIVO",1,IF(D118="PASIVO",2,IF(D118="PERDIDA",3,IF(D118="GANANCIA",4,0))))</f>
        <v>1</v>
      </c>
      <c r="F118" s="55"/>
      <c r="G118" s="55" t="s">
        <v>429</v>
      </c>
      <c r="H118" s="55"/>
    </row>
    <row r="119" customFormat="false" ht="18" hidden="false" customHeight="true" outlineLevel="0" collapsed="false">
      <c r="A119" s="54" t="s">
        <v>525</v>
      </c>
      <c r="B119" s="68" t="n">
        <v>1107402</v>
      </c>
      <c r="C119" s="54" t="s">
        <v>443</v>
      </c>
      <c r="D119" s="54" t="s">
        <v>232</v>
      </c>
      <c r="E119" s="69" t="n">
        <f aca="false">IF(D119="ACTIVO",1,IF(D119="PASIVO",2,IF(D119="PERDIDA",3,IF(D119="GANANCIA",4,0))))</f>
        <v>1</v>
      </c>
      <c r="F119" s="54"/>
      <c r="G119" s="54" t="s">
        <v>429</v>
      </c>
      <c r="H119" s="54"/>
    </row>
    <row r="120" customFormat="false" ht="18" hidden="false" customHeight="true" outlineLevel="0" collapsed="false">
      <c r="A120" s="55" t="s">
        <v>525</v>
      </c>
      <c r="B120" s="66" t="n">
        <v>1107404</v>
      </c>
      <c r="C120" s="55" t="s">
        <v>444</v>
      </c>
      <c r="D120" s="55" t="s">
        <v>232</v>
      </c>
      <c r="E120" s="67" t="n">
        <f aca="false">IF(D120="ACTIVO",1,IF(D120="PASIVO",2,IF(D120="PERDIDA",3,IF(D120="GANANCIA",4,0))))</f>
        <v>1</v>
      </c>
      <c r="F120" s="55"/>
      <c r="G120" s="55" t="s">
        <v>429</v>
      </c>
      <c r="H120" s="55"/>
    </row>
    <row r="121" customFormat="false" ht="18" hidden="false" customHeight="true" outlineLevel="0" collapsed="false">
      <c r="A121" s="54" t="s">
        <v>525</v>
      </c>
      <c r="B121" s="68" t="n">
        <v>1108001</v>
      </c>
      <c r="C121" s="54" t="s">
        <v>445</v>
      </c>
      <c r="D121" s="54" t="s">
        <v>232</v>
      </c>
      <c r="E121" s="69" t="n">
        <f aca="false">IF(D121="ACTIVO",1,IF(D121="PASIVO",2,IF(D121="PERDIDA",3,IF(D121="GANANCIA",4,0))))</f>
        <v>1</v>
      </c>
      <c r="F121" s="54"/>
      <c r="G121" s="54" t="s">
        <v>429</v>
      </c>
      <c r="H121" s="54"/>
    </row>
    <row r="122" customFormat="false" ht="18" hidden="false" customHeight="true" outlineLevel="0" collapsed="false">
      <c r="A122" s="55" t="s">
        <v>525</v>
      </c>
      <c r="B122" s="66" t="n">
        <v>1108002</v>
      </c>
      <c r="C122" s="55" t="s">
        <v>446</v>
      </c>
      <c r="D122" s="55" t="s">
        <v>232</v>
      </c>
      <c r="E122" s="67" t="n">
        <f aca="false">IF(D122="ACTIVO",1,IF(D122="PASIVO",2,IF(D122="PERDIDA",3,IF(D122="GANANCIA",4,0))))</f>
        <v>1</v>
      </c>
      <c r="F122" s="55"/>
      <c r="G122" s="55" t="s">
        <v>429</v>
      </c>
      <c r="H122" s="55"/>
    </row>
    <row r="123" customFormat="false" ht="18" hidden="false" customHeight="true" outlineLevel="0" collapsed="false">
      <c r="A123" s="54" t="s">
        <v>525</v>
      </c>
      <c r="B123" s="68" t="n">
        <v>1110001</v>
      </c>
      <c r="C123" s="54" t="s">
        <v>447</v>
      </c>
      <c r="D123" s="54" t="s">
        <v>232</v>
      </c>
      <c r="E123" s="69" t="n">
        <f aca="false">IF(D123="ACTIVO",1,IF(D123="PASIVO",2,IF(D123="PERDIDA",3,IF(D123="GANANCIA",4,0))))</f>
        <v>1</v>
      </c>
      <c r="F123" s="54"/>
      <c r="G123" s="54" t="s">
        <v>429</v>
      </c>
      <c r="H123" s="54"/>
    </row>
    <row r="124" customFormat="false" ht="18" hidden="false" customHeight="true" outlineLevel="0" collapsed="false">
      <c r="A124" s="55" t="s">
        <v>525</v>
      </c>
      <c r="B124" s="66" t="n">
        <v>1201001</v>
      </c>
      <c r="C124" s="55" t="s">
        <v>448</v>
      </c>
      <c r="D124" s="55" t="s">
        <v>232</v>
      </c>
      <c r="E124" s="67" t="n">
        <f aca="false">IF(D124="ACTIVO",1,IF(D124="PASIVO",2,IF(D124="PERDIDA",3,IF(D124="GANANCIA",4,0))))</f>
        <v>1</v>
      </c>
      <c r="F124" s="55"/>
      <c r="G124" s="55" t="s">
        <v>429</v>
      </c>
      <c r="H124" s="55"/>
    </row>
    <row r="125" customFormat="false" ht="18" hidden="false" customHeight="true" outlineLevel="0" collapsed="false">
      <c r="A125" s="54" t="s">
        <v>525</v>
      </c>
      <c r="B125" s="68" t="n">
        <v>1201002</v>
      </c>
      <c r="C125" s="54" t="s">
        <v>449</v>
      </c>
      <c r="D125" s="54" t="s">
        <v>450</v>
      </c>
      <c r="E125" s="69" t="n">
        <f aca="false">IF(D125="ACTIVO",1,IF(D125="PASIVO",2,IF(D125="PERDIDA",3,IF(D125="GANANCIA",4,0))))</f>
        <v>2</v>
      </c>
      <c r="F125" s="54"/>
      <c r="G125" s="54" t="s">
        <v>429</v>
      </c>
      <c r="H125" s="54"/>
    </row>
    <row r="126" customFormat="false" ht="18" hidden="false" customHeight="true" outlineLevel="0" collapsed="false">
      <c r="A126" s="55" t="s">
        <v>525</v>
      </c>
      <c r="B126" s="66" t="n">
        <v>1201003</v>
      </c>
      <c r="C126" s="55" t="s">
        <v>451</v>
      </c>
      <c r="D126" s="55" t="s">
        <v>232</v>
      </c>
      <c r="E126" s="67" t="n">
        <f aca="false">IF(D126="ACTIVO",1,IF(D126="PASIVO",2,IF(D126="PERDIDA",3,IF(D126="GANANCIA",4,0))))</f>
        <v>1</v>
      </c>
      <c r="F126" s="55"/>
      <c r="G126" s="55" t="s">
        <v>429</v>
      </c>
      <c r="H126" s="55"/>
    </row>
    <row r="127" customFormat="false" ht="18" hidden="false" customHeight="true" outlineLevel="0" collapsed="false">
      <c r="A127" s="54" t="s">
        <v>525</v>
      </c>
      <c r="B127" s="68" t="n">
        <v>1201004</v>
      </c>
      <c r="C127" s="54" t="s">
        <v>452</v>
      </c>
      <c r="D127" s="54" t="s">
        <v>450</v>
      </c>
      <c r="E127" s="69" t="n">
        <f aca="false">IF(D127="ACTIVO",1,IF(D127="PASIVO",2,IF(D127="PERDIDA",3,IF(D127="GANANCIA",4,0))))</f>
        <v>2</v>
      </c>
      <c r="F127" s="54"/>
      <c r="G127" s="54" t="s">
        <v>429</v>
      </c>
      <c r="H127" s="54"/>
    </row>
    <row r="128" customFormat="false" ht="18" hidden="false" customHeight="true" outlineLevel="0" collapsed="false">
      <c r="A128" s="55" t="s">
        <v>525</v>
      </c>
      <c r="B128" s="66" t="n">
        <v>1201005</v>
      </c>
      <c r="C128" s="55" t="s">
        <v>453</v>
      </c>
      <c r="D128" s="55" t="s">
        <v>232</v>
      </c>
      <c r="E128" s="67" t="n">
        <f aca="false">IF(D128="ACTIVO",1,IF(D128="PASIVO",2,IF(D128="PERDIDA",3,IF(D128="GANANCIA",4,0))))</f>
        <v>1</v>
      </c>
      <c r="F128" s="55"/>
      <c r="G128" s="55" t="s">
        <v>429</v>
      </c>
      <c r="H128" s="55"/>
    </row>
    <row r="129" customFormat="false" ht="18" hidden="false" customHeight="true" outlineLevel="0" collapsed="false">
      <c r="A129" s="54" t="s">
        <v>525</v>
      </c>
      <c r="B129" s="68" t="n">
        <v>1201006</v>
      </c>
      <c r="C129" s="54" t="s">
        <v>454</v>
      </c>
      <c r="D129" s="54" t="s">
        <v>450</v>
      </c>
      <c r="E129" s="69" t="n">
        <f aca="false">IF(D129="ACTIVO",1,IF(D129="PASIVO",2,IF(D129="PERDIDA",3,IF(D129="GANANCIA",4,0))))</f>
        <v>2</v>
      </c>
      <c r="F129" s="54"/>
      <c r="G129" s="54" t="s">
        <v>429</v>
      </c>
      <c r="H129" s="54"/>
    </row>
    <row r="130" customFormat="false" ht="18" hidden="false" customHeight="true" outlineLevel="0" collapsed="false">
      <c r="A130" s="55" t="s">
        <v>525</v>
      </c>
      <c r="B130" s="66" t="n">
        <v>1201007</v>
      </c>
      <c r="C130" s="55" t="s">
        <v>455</v>
      </c>
      <c r="D130" s="55" t="s">
        <v>232</v>
      </c>
      <c r="E130" s="67" t="n">
        <f aca="false">IF(D130="ACTIVO",1,IF(D130="PASIVO",2,IF(D130="PERDIDA",3,IF(D130="GANANCIA",4,0))))</f>
        <v>1</v>
      </c>
      <c r="F130" s="55"/>
      <c r="G130" s="55" t="s">
        <v>429</v>
      </c>
      <c r="H130" s="55"/>
    </row>
    <row r="131" customFormat="false" ht="18" hidden="false" customHeight="true" outlineLevel="0" collapsed="false">
      <c r="A131" s="54" t="s">
        <v>525</v>
      </c>
      <c r="B131" s="68" t="n">
        <v>1201008</v>
      </c>
      <c r="C131" s="54" t="s">
        <v>456</v>
      </c>
      <c r="D131" s="54" t="s">
        <v>232</v>
      </c>
      <c r="E131" s="69" t="n">
        <f aca="false">IF(D131="ACTIVO",1,IF(D131="PASIVO",2,IF(D131="PERDIDA",3,IF(D131="GANANCIA",4,0))))</f>
        <v>1</v>
      </c>
      <c r="F131" s="54"/>
      <c r="G131" s="54" t="s">
        <v>429</v>
      </c>
      <c r="H131" s="54"/>
    </row>
    <row r="132" customFormat="false" ht="18" hidden="false" customHeight="true" outlineLevel="0" collapsed="false">
      <c r="A132" s="55" t="s">
        <v>525</v>
      </c>
      <c r="B132" s="66" t="n">
        <v>1201010</v>
      </c>
      <c r="C132" s="55" t="s">
        <v>457</v>
      </c>
      <c r="D132" s="55" t="s">
        <v>232</v>
      </c>
      <c r="E132" s="67" t="n">
        <f aca="false">IF(D132="ACTIVO",1,IF(D132="PASIVO",2,IF(D132="PERDIDA",3,IF(D132="GANANCIA",4,0))))</f>
        <v>1</v>
      </c>
      <c r="F132" s="55"/>
      <c r="G132" s="55" t="s">
        <v>429</v>
      </c>
      <c r="H132" s="55"/>
    </row>
    <row r="133" customFormat="false" ht="18" hidden="false" customHeight="true" outlineLevel="0" collapsed="false">
      <c r="A133" s="54" t="s">
        <v>525</v>
      </c>
      <c r="B133" s="68" t="n">
        <v>1202001</v>
      </c>
      <c r="C133" s="54" t="s">
        <v>458</v>
      </c>
      <c r="D133" s="54" t="s">
        <v>232</v>
      </c>
      <c r="E133" s="69" t="n">
        <f aca="false">IF(D133="ACTIVO",1,IF(D133="PASIVO",2,IF(D133="PERDIDA",3,IF(D133="GANANCIA",4,0))))</f>
        <v>1</v>
      </c>
      <c r="F133" s="54"/>
      <c r="G133" s="54" t="s">
        <v>429</v>
      </c>
      <c r="H133" s="54"/>
    </row>
    <row r="134" customFormat="false" ht="18" hidden="false" customHeight="true" outlineLevel="0" collapsed="false">
      <c r="A134" s="55" t="s">
        <v>525</v>
      </c>
      <c r="B134" s="66" t="n">
        <v>1202003</v>
      </c>
      <c r="C134" s="55" t="s">
        <v>459</v>
      </c>
      <c r="D134" s="55" t="s">
        <v>232</v>
      </c>
      <c r="E134" s="67" t="n">
        <f aca="false">IF(D134="ACTIVO",1,IF(D134="PASIVO",2,IF(D134="PERDIDA",3,IF(D134="GANANCIA",4,0))))</f>
        <v>1</v>
      </c>
      <c r="F134" s="55"/>
      <c r="G134" s="55" t="s">
        <v>429</v>
      </c>
      <c r="H134" s="55"/>
    </row>
    <row r="135" customFormat="false" ht="18" hidden="false" customHeight="true" outlineLevel="0" collapsed="false">
      <c r="A135" s="54" t="s">
        <v>525</v>
      </c>
      <c r="B135" s="68" t="n">
        <v>1202004</v>
      </c>
      <c r="C135" s="54" t="s">
        <v>460</v>
      </c>
      <c r="D135" s="54" t="s">
        <v>232</v>
      </c>
      <c r="E135" s="69" t="n">
        <f aca="false">IF(D135="ACTIVO",1,IF(D135="PASIVO",2,IF(D135="PERDIDA",3,IF(D135="GANANCIA",4,0))))</f>
        <v>1</v>
      </c>
      <c r="F135" s="54"/>
      <c r="G135" s="54" t="s">
        <v>429</v>
      </c>
      <c r="H135" s="54"/>
    </row>
    <row r="136" customFormat="false" ht="18" hidden="false" customHeight="true" outlineLevel="0" collapsed="false">
      <c r="A136" s="55" t="s">
        <v>525</v>
      </c>
      <c r="B136" s="66" t="n">
        <v>1202005</v>
      </c>
      <c r="C136" s="55" t="s">
        <v>461</v>
      </c>
      <c r="D136" s="55" t="s">
        <v>232</v>
      </c>
      <c r="E136" s="67" t="n">
        <f aca="false">IF(D136="ACTIVO",1,IF(D136="PASIVO",2,IF(D136="PERDIDA",3,IF(D136="GANANCIA",4,0))))</f>
        <v>1</v>
      </c>
      <c r="F136" s="55"/>
      <c r="G136" s="55" t="s">
        <v>429</v>
      </c>
      <c r="H136" s="55"/>
    </row>
    <row r="137" customFormat="false" ht="18" hidden="false" customHeight="true" outlineLevel="0" collapsed="false">
      <c r="A137" s="54" t="s">
        <v>525</v>
      </c>
      <c r="B137" s="68" t="n">
        <v>1202006</v>
      </c>
      <c r="C137" s="54" t="s">
        <v>462</v>
      </c>
      <c r="D137" s="54" t="s">
        <v>450</v>
      </c>
      <c r="E137" s="69" t="n">
        <f aca="false">IF(D137="ACTIVO",1,IF(D137="PASIVO",2,IF(D137="PERDIDA",3,IF(D137="GANANCIA",4,0))))</f>
        <v>2</v>
      </c>
      <c r="F137" s="54"/>
      <c r="G137" s="54" t="s">
        <v>429</v>
      </c>
      <c r="H137" s="54"/>
    </row>
    <row r="138" customFormat="false" ht="18" hidden="false" customHeight="true" outlineLevel="0" collapsed="false">
      <c r="A138" s="55" t="s">
        <v>525</v>
      </c>
      <c r="B138" s="66" t="n">
        <v>1202007</v>
      </c>
      <c r="C138" s="55" t="s">
        <v>463</v>
      </c>
      <c r="D138" s="55" t="s">
        <v>232</v>
      </c>
      <c r="E138" s="67" t="n">
        <f aca="false">IF(D138="ACTIVO",1,IF(D138="PASIVO",2,IF(D138="PERDIDA",3,IF(D138="GANANCIA",4,0))))</f>
        <v>1</v>
      </c>
      <c r="F138" s="55"/>
      <c r="G138" s="55" t="s">
        <v>429</v>
      </c>
      <c r="H138" s="55"/>
    </row>
    <row r="139" customFormat="false" ht="18" hidden="false" customHeight="true" outlineLevel="0" collapsed="false">
      <c r="A139" s="54" t="s">
        <v>525</v>
      </c>
      <c r="B139" s="68" t="n">
        <v>1203001</v>
      </c>
      <c r="C139" s="54" t="s">
        <v>464</v>
      </c>
      <c r="D139" s="54" t="s">
        <v>232</v>
      </c>
      <c r="E139" s="69" t="n">
        <f aca="false">IF(D139="ACTIVO",1,IF(D139="PASIVO",2,IF(D139="PERDIDA",3,IF(D139="GANANCIA",4,0))))</f>
        <v>1</v>
      </c>
      <c r="F139" s="54"/>
      <c r="G139" s="54" t="s">
        <v>429</v>
      </c>
      <c r="H139" s="54"/>
    </row>
    <row r="140" customFormat="false" ht="18" hidden="false" customHeight="true" outlineLevel="0" collapsed="false">
      <c r="A140" s="55" t="s">
        <v>525</v>
      </c>
      <c r="B140" s="66" t="n">
        <v>1203002</v>
      </c>
      <c r="C140" s="55" t="s">
        <v>465</v>
      </c>
      <c r="D140" s="55" t="s">
        <v>232</v>
      </c>
      <c r="E140" s="67" t="n">
        <f aca="false">IF(D140="ACTIVO",1,IF(D140="PASIVO",2,IF(D140="PERDIDA",3,IF(D140="GANANCIA",4,0))))</f>
        <v>1</v>
      </c>
      <c r="F140" s="55"/>
      <c r="G140" s="55" t="s">
        <v>429</v>
      </c>
      <c r="H140" s="55"/>
    </row>
    <row r="141" customFormat="false" ht="18" hidden="false" customHeight="true" outlineLevel="0" collapsed="false">
      <c r="A141" s="54" t="s">
        <v>525</v>
      </c>
      <c r="B141" s="68" t="n">
        <v>1203003</v>
      </c>
      <c r="C141" s="54" t="s">
        <v>466</v>
      </c>
      <c r="D141" s="54" t="s">
        <v>450</v>
      </c>
      <c r="E141" s="69" t="n">
        <f aca="false">IF(D141="ACTIVO",1,IF(D141="PASIVO",2,IF(D141="PERDIDA",3,IF(D141="GANANCIA",4,0))))</f>
        <v>2</v>
      </c>
      <c r="F141" s="54"/>
      <c r="G141" s="54" t="s">
        <v>429</v>
      </c>
      <c r="H141" s="54"/>
    </row>
    <row r="142" customFormat="false" ht="18" hidden="false" customHeight="true" outlineLevel="0" collapsed="false">
      <c r="A142" s="55" t="s">
        <v>525</v>
      </c>
      <c r="B142" s="66" t="n">
        <v>1204001</v>
      </c>
      <c r="C142" s="55" t="s">
        <v>467</v>
      </c>
      <c r="D142" s="55" t="s">
        <v>232</v>
      </c>
      <c r="E142" s="67" t="n">
        <f aca="false">IF(D142="ACTIVO",1,IF(D142="PASIVO",2,IF(D142="PERDIDA",3,IF(D142="GANANCIA",4,0))))</f>
        <v>1</v>
      </c>
      <c r="F142" s="55"/>
      <c r="G142" s="55" t="s">
        <v>429</v>
      </c>
      <c r="H142" s="55"/>
    </row>
    <row r="143" customFormat="false" ht="18" hidden="false" customHeight="true" outlineLevel="0" collapsed="false">
      <c r="A143" s="54" t="s">
        <v>525</v>
      </c>
      <c r="B143" s="68" t="n">
        <v>1204009</v>
      </c>
      <c r="C143" s="54" t="s">
        <v>468</v>
      </c>
      <c r="D143" s="54" t="s">
        <v>450</v>
      </c>
      <c r="E143" s="69" t="n">
        <f aca="false">IF(D143="ACTIVO",1,IF(D143="PASIVO",2,IF(D143="PERDIDA",3,IF(D143="GANANCIA",4,0))))</f>
        <v>2</v>
      </c>
      <c r="F143" s="54"/>
      <c r="G143" s="54" t="s">
        <v>429</v>
      </c>
      <c r="H143" s="54"/>
    </row>
    <row r="144" customFormat="false" ht="18" hidden="false" customHeight="true" outlineLevel="0" collapsed="false">
      <c r="A144" s="55" t="s">
        <v>525</v>
      </c>
      <c r="B144" s="66" t="n">
        <v>1205001</v>
      </c>
      <c r="C144" s="55" t="s">
        <v>469</v>
      </c>
      <c r="D144" s="55" t="s">
        <v>232</v>
      </c>
      <c r="E144" s="67" t="n">
        <f aca="false">IF(D144="ACTIVO",1,IF(D144="PASIVO",2,IF(D144="PERDIDA",3,IF(D144="GANANCIA",4,0))))</f>
        <v>1</v>
      </c>
      <c r="F144" s="55"/>
      <c r="G144" s="55" t="s">
        <v>429</v>
      </c>
      <c r="H144" s="55"/>
    </row>
    <row r="145" customFormat="false" ht="18" hidden="false" customHeight="true" outlineLevel="0" collapsed="false">
      <c r="A145" s="54" t="s">
        <v>525</v>
      </c>
      <c r="B145" s="68" t="n">
        <v>1301001</v>
      </c>
      <c r="C145" s="54" t="s">
        <v>470</v>
      </c>
      <c r="D145" s="54" t="s">
        <v>232</v>
      </c>
      <c r="E145" s="69" t="n">
        <f aca="false">IF(D145="ACTIVO",1,IF(D145="PASIVO",2,IF(D145="PERDIDA",3,IF(D145="GANANCIA",4,0))))</f>
        <v>1</v>
      </c>
      <c r="F145" s="54"/>
      <c r="G145" s="54" t="s">
        <v>429</v>
      </c>
      <c r="H145" s="54"/>
    </row>
    <row r="146" customFormat="false" ht="18" hidden="false" customHeight="true" outlineLevel="0" collapsed="false">
      <c r="A146" s="55" t="s">
        <v>525</v>
      </c>
      <c r="B146" s="66" t="n">
        <v>1303001</v>
      </c>
      <c r="C146" s="55" t="s">
        <v>471</v>
      </c>
      <c r="D146" s="55" t="s">
        <v>232</v>
      </c>
      <c r="E146" s="67" t="n">
        <f aca="false">IF(D146="ACTIVO",1,IF(D146="PASIVO",2,IF(D146="PERDIDA",3,IF(D146="GANANCIA",4,0))))</f>
        <v>1</v>
      </c>
      <c r="F146" s="55"/>
      <c r="G146" s="55" t="s">
        <v>429</v>
      </c>
      <c r="H146" s="55"/>
    </row>
    <row r="147" customFormat="false" ht="18" hidden="false" customHeight="true" outlineLevel="0" collapsed="false">
      <c r="A147" s="54" t="s">
        <v>525</v>
      </c>
      <c r="B147" s="68" t="n">
        <v>2102001</v>
      </c>
      <c r="C147" s="54" t="s">
        <v>472</v>
      </c>
      <c r="D147" s="54" t="s">
        <v>450</v>
      </c>
      <c r="E147" s="69" t="n">
        <f aca="false">IF(D147="ACTIVO",1,IF(D147="PASIVO",2,IF(D147="PERDIDA",3,IF(D147="GANANCIA",4,0))))</f>
        <v>2</v>
      </c>
      <c r="F147" s="54"/>
      <c r="G147" s="54" t="s">
        <v>429</v>
      </c>
      <c r="H147" s="54"/>
    </row>
    <row r="148" customFormat="false" ht="18" hidden="false" customHeight="true" outlineLevel="0" collapsed="false">
      <c r="A148" s="55" t="s">
        <v>525</v>
      </c>
      <c r="B148" s="66" t="n">
        <v>2103001</v>
      </c>
      <c r="C148" s="55" t="s">
        <v>473</v>
      </c>
      <c r="D148" s="55" t="s">
        <v>450</v>
      </c>
      <c r="E148" s="67" t="n">
        <f aca="false">IF(D148="ACTIVO",1,IF(D148="PASIVO",2,IF(D148="PERDIDA",3,IF(D148="GANANCIA",4,0))))</f>
        <v>2</v>
      </c>
      <c r="F148" s="55"/>
      <c r="G148" s="55" t="s">
        <v>429</v>
      </c>
      <c r="H148" s="55"/>
    </row>
    <row r="149" customFormat="false" ht="18" hidden="false" customHeight="true" outlineLevel="0" collapsed="false">
      <c r="A149" s="54" t="s">
        <v>525</v>
      </c>
      <c r="B149" s="68" t="n">
        <v>2104001</v>
      </c>
      <c r="C149" s="54" t="s">
        <v>474</v>
      </c>
      <c r="D149" s="54" t="s">
        <v>450</v>
      </c>
      <c r="E149" s="69" t="n">
        <f aca="false">IF(D149="ACTIVO",1,IF(D149="PASIVO",2,IF(D149="PERDIDA",3,IF(D149="GANANCIA",4,0))))</f>
        <v>2</v>
      </c>
      <c r="F149" s="54"/>
      <c r="G149" s="54" t="s">
        <v>429</v>
      </c>
      <c r="H149" s="54"/>
    </row>
    <row r="150" customFormat="false" ht="18" hidden="false" customHeight="true" outlineLevel="0" collapsed="false">
      <c r="A150" s="55" t="s">
        <v>525</v>
      </c>
      <c r="B150" s="66" t="n">
        <v>2104003</v>
      </c>
      <c r="C150" s="55" t="s">
        <v>475</v>
      </c>
      <c r="D150" s="55" t="s">
        <v>450</v>
      </c>
      <c r="E150" s="67" t="n">
        <f aca="false">IF(D150="ACTIVO",1,IF(D150="PASIVO",2,IF(D150="PERDIDA",3,IF(D150="GANANCIA",4,0))))</f>
        <v>2</v>
      </c>
      <c r="F150" s="55"/>
      <c r="G150" s="55" t="s">
        <v>429</v>
      </c>
      <c r="H150" s="55"/>
    </row>
    <row r="151" customFormat="false" ht="18" hidden="false" customHeight="true" outlineLevel="0" collapsed="false">
      <c r="A151" s="54" t="s">
        <v>525</v>
      </c>
      <c r="B151" s="68" t="n">
        <v>2105003</v>
      </c>
      <c r="C151" s="54" t="s">
        <v>476</v>
      </c>
      <c r="D151" s="54" t="s">
        <v>450</v>
      </c>
      <c r="E151" s="69" t="n">
        <f aca="false">IF(D151="ACTIVO",1,IF(D151="PASIVO",2,IF(D151="PERDIDA",3,IF(D151="GANANCIA",4,0))))</f>
        <v>2</v>
      </c>
      <c r="F151" s="54"/>
      <c r="G151" s="54" t="s">
        <v>429</v>
      </c>
      <c r="H151" s="54"/>
    </row>
    <row r="152" customFormat="false" ht="18" hidden="false" customHeight="true" outlineLevel="0" collapsed="false">
      <c r="A152" s="55" t="s">
        <v>525</v>
      </c>
      <c r="B152" s="66" t="n">
        <v>2105004</v>
      </c>
      <c r="C152" s="55" t="s">
        <v>477</v>
      </c>
      <c r="D152" s="55" t="s">
        <v>450</v>
      </c>
      <c r="E152" s="67" t="n">
        <f aca="false">IF(D152="ACTIVO",1,IF(D152="PASIVO",2,IF(D152="PERDIDA",3,IF(D152="GANANCIA",4,0))))</f>
        <v>2</v>
      </c>
      <c r="F152" s="55"/>
      <c r="G152" s="55" t="s">
        <v>429</v>
      </c>
      <c r="H152" s="55"/>
    </row>
    <row r="153" customFormat="false" ht="18" hidden="false" customHeight="true" outlineLevel="0" collapsed="false">
      <c r="A153" s="54" t="s">
        <v>525</v>
      </c>
      <c r="B153" s="68" t="n">
        <v>2105005</v>
      </c>
      <c r="C153" s="54" t="s">
        <v>478</v>
      </c>
      <c r="D153" s="54" t="s">
        <v>450</v>
      </c>
      <c r="E153" s="69" t="n">
        <f aca="false">IF(D153="ACTIVO",1,IF(D153="PASIVO",2,IF(D153="PERDIDA",3,IF(D153="GANANCIA",4,0))))</f>
        <v>2</v>
      </c>
      <c r="F153" s="54"/>
      <c r="G153" s="54" t="s">
        <v>429</v>
      </c>
      <c r="H153" s="54"/>
    </row>
    <row r="154" customFormat="false" ht="18" hidden="false" customHeight="true" outlineLevel="0" collapsed="false">
      <c r="A154" s="55" t="s">
        <v>525</v>
      </c>
      <c r="B154" s="66" t="n">
        <v>2105006</v>
      </c>
      <c r="C154" s="55" t="s">
        <v>479</v>
      </c>
      <c r="D154" s="55" t="s">
        <v>450</v>
      </c>
      <c r="E154" s="67" t="n">
        <f aca="false">IF(D154="ACTIVO",1,IF(D154="PASIVO",2,IF(D154="PERDIDA",3,IF(D154="GANANCIA",4,0))))</f>
        <v>2</v>
      </c>
      <c r="F154" s="55"/>
      <c r="G154" s="55" t="s">
        <v>429</v>
      </c>
      <c r="H154" s="55"/>
    </row>
    <row r="155" customFormat="false" ht="18" hidden="false" customHeight="true" outlineLevel="0" collapsed="false">
      <c r="A155" s="54" t="s">
        <v>525</v>
      </c>
      <c r="B155" s="68" t="n">
        <v>2105101</v>
      </c>
      <c r="C155" s="54" t="s">
        <v>480</v>
      </c>
      <c r="D155" s="54" t="s">
        <v>450</v>
      </c>
      <c r="E155" s="69" t="n">
        <f aca="false">IF(D155="ACTIVO",1,IF(D155="PASIVO",2,IF(D155="PERDIDA",3,IF(D155="GANANCIA",4,0))))</f>
        <v>2</v>
      </c>
      <c r="F155" s="54"/>
      <c r="G155" s="54" t="s">
        <v>429</v>
      </c>
      <c r="H155" s="54"/>
    </row>
    <row r="156" customFormat="false" ht="18" hidden="false" customHeight="true" outlineLevel="0" collapsed="false">
      <c r="A156" s="55" t="s">
        <v>525</v>
      </c>
      <c r="B156" s="66" t="n">
        <v>2105102</v>
      </c>
      <c r="C156" s="55" t="s">
        <v>481</v>
      </c>
      <c r="D156" s="55" t="s">
        <v>450</v>
      </c>
      <c r="E156" s="67" t="n">
        <f aca="false">IF(D156="ACTIVO",1,IF(D156="PASIVO",2,IF(D156="PERDIDA",3,IF(D156="GANANCIA",4,0))))</f>
        <v>2</v>
      </c>
      <c r="F156" s="55"/>
      <c r="G156" s="55" t="s">
        <v>429</v>
      </c>
      <c r="H156" s="55"/>
    </row>
    <row r="157" customFormat="false" ht="18" hidden="false" customHeight="true" outlineLevel="0" collapsed="false">
      <c r="A157" s="54" t="s">
        <v>525</v>
      </c>
      <c r="B157" s="68" t="n">
        <v>2105201</v>
      </c>
      <c r="C157" s="54" t="s">
        <v>482</v>
      </c>
      <c r="D157" s="54" t="s">
        <v>450</v>
      </c>
      <c r="E157" s="69" t="n">
        <f aca="false">IF(D157="ACTIVO",1,IF(D157="PASIVO",2,IF(D157="PERDIDA",3,IF(D157="GANANCIA",4,0))))</f>
        <v>2</v>
      </c>
      <c r="F157" s="54"/>
      <c r="G157" s="54" t="s">
        <v>429</v>
      </c>
      <c r="H157" s="54"/>
    </row>
    <row r="158" customFormat="false" ht="18" hidden="false" customHeight="true" outlineLevel="0" collapsed="false">
      <c r="A158" s="55" t="s">
        <v>525</v>
      </c>
      <c r="B158" s="66" t="n">
        <v>2105401</v>
      </c>
      <c r="C158" s="55" t="s">
        <v>483</v>
      </c>
      <c r="D158" s="55" t="s">
        <v>450</v>
      </c>
      <c r="E158" s="67" t="n">
        <f aca="false">IF(D158="ACTIVO",1,IF(D158="PASIVO",2,IF(D158="PERDIDA",3,IF(D158="GANANCIA",4,0))))</f>
        <v>2</v>
      </c>
      <c r="F158" s="55"/>
      <c r="G158" s="55" t="s">
        <v>429</v>
      </c>
      <c r="H158" s="55"/>
    </row>
    <row r="159" customFormat="false" ht="18" hidden="false" customHeight="true" outlineLevel="0" collapsed="false">
      <c r="A159" s="54" t="s">
        <v>525</v>
      </c>
      <c r="B159" s="68" t="n">
        <v>2106001</v>
      </c>
      <c r="C159" s="54" t="s">
        <v>484</v>
      </c>
      <c r="D159" s="54" t="s">
        <v>450</v>
      </c>
      <c r="E159" s="69" t="n">
        <f aca="false">IF(D159="ACTIVO",1,IF(D159="PASIVO",2,IF(D159="PERDIDA",3,IF(D159="GANANCIA",4,0))))</f>
        <v>2</v>
      </c>
      <c r="F159" s="54"/>
      <c r="G159" s="54" t="s">
        <v>429</v>
      </c>
      <c r="H159" s="54"/>
    </row>
    <row r="160" customFormat="false" ht="18" hidden="false" customHeight="true" outlineLevel="0" collapsed="false">
      <c r="A160" s="55" t="s">
        <v>525</v>
      </c>
      <c r="B160" s="66" t="n">
        <v>2106002</v>
      </c>
      <c r="C160" s="55" t="s">
        <v>485</v>
      </c>
      <c r="D160" s="55" t="s">
        <v>450</v>
      </c>
      <c r="E160" s="67" t="n">
        <f aca="false">IF(D160="ACTIVO",1,IF(D160="PASIVO",2,IF(D160="PERDIDA",3,IF(D160="GANANCIA",4,0))))</f>
        <v>2</v>
      </c>
      <c r="F160" s="55"/>
      <c r="G160" s="55" t="s">
        <v>429</v>
      </c>
      <c r="H160" s="55"/>
    </row>
    <row r="161" customFormat="false" ht="18" hidden="false" customHeight="true" outlineLevel="0" collapsed="false">
      <c r="A161" s="54" t="s">
        <v>525</v>
      </c>
      <c r="B161" s="68" t="n">
        <v>2107001</v>
      </c>
      <c r="C161" s="54" t="s">
        <v>486</v>
      </c>
      <c r="D161" s="54" t="s">
        <v>450</v>
      </c>
      <c r="E161" s="69" t="n">
        <f aca="false">IF(D161="ACTIVO",1,IF(D161="PASIVO",2,IF(D161="PERDIDA",3,IF(D161="GANANCIA",4,0))))</f>
        <v>2</v>
      </c>
      <c r="F161" s="54"/>
      <c r="G161" s="54" t="s">
        <v>429</v>
      </c>
      <c r="H161" s="54"/>
    </row>
    <row r="162" customFormat="false" ht="18" hidden="false" customHeight="true" outlineLevel="0" collapsed="false">
      <c r="A162" s="55" t="s">
        <v>525</v>
      </c>
      <c r="B162" s="66" t="n">
        <v>2108001</v>
      </c>
      <c r="C162" s="55" t="s">
        <v>487</v>
      </c>
      <c r="D162" s="55" t="s">
        <v>450</v>
      </c>
      <c r="E162" s="67" t="n">
        <f aca="false">IF(D162="ACTIVO",1,IF(D162="PASIVO",2,IF(D162="PERDIDA",3,IF(D162="GANANCIA",4,0))))</f>
        <v>2</v>
      </c>
      <c r="F162" s="55"/>
      <c r="G162" s="55" t="s">
        <v>429</v>
      </c>
      <c r="H162" s="55"/>
    </row>
    <row r="163" customFormat="false" ht="18" hidden="false" customHeight="true" outlineLevel="0" collapsed="false">
      <c r="A163" s="54" t="s">
        <v>525</v>
      </c>
      <c r="B163" s="68" t="n">
        <v>2108003</v>
      </c>
      <c r="C163" s="54" t="s">
        <v>488</v>
      </c>
      <c r="D163" s="54" t="s">
        <v>450</v>
      </c>
      <c r="E163" s="69" t="n">
        <f aca="false">IF(D163="ACTIVO",1,IF(D163="PASIVO",2,IF(D163="PERDIDA",3,IF(D163="GANANCIA",4,0))))</f>
        <v>2</v>
      </c>
      <c r="F163" s="54"/>
      <c r="G163" s="54" t="s">
        <v>429</v>
      </c>
      <c r="H163" s="54"/>
    </row>
    <row r="164" customFormat="false" ht="18" hidden="false" customHeight="true" outlineLevel="0" collapsed="false">
      <c r="A164" s="55" t="s">
        <v>525</v>
      </c>
      <c r="B164" s="66" t="n">
        <v>2201001</v>
      </c>
      <c r="C164" s="55" t="s">
        <v>489</v>
      </c>
      <c r="D164" s="55" t="s">
        <v>450</v>
      </c>
      <c r="E164" s="67" t="n">
        <f aca="false">IF(D164="ACTIVO",1,IF(D164="PASIVO",2,IF(D164="PERDIDA",3,IF(D164="GANANCIA",4,0))))</f>
        <v>2</v>
      </c>
      <c r="F164" s="55"/>
      <c r="G164" s="55" t="s">
        <v>429</v>
      </c>
      <c r="H164" s="55"/>
    </row>
    <row r="165" customFormat="false" ht="18" hidden="false" customHeight="true" outlineLevel="0" collapsed="false">
      <c r="A165" s="54" t="s">
        <v>525</v>
      </c>
      <c r="B165" s="68" t="n">
        <v>2201002</v>
      </c>
      <c r="C165" s="54" t="s">
        <v>490</v>
      </c>
      <c r="D165" s="54" t="s">
        <v>450</v>
      </c>
      <c r="E165" s="69" t="n">
        <f aca="false">IF(D165="ACTIVO",1,IF(D165="PASIVO",2,IF(D165="PERDIDA",3,IF(D165="GANANCIA",4,0))))</f>
        <v>2</v>
      </c>
      <c r="F165" s="54"/>
      <c r="G165" s="54" t="s">
        <v>429</v>
      </c>
      <c r="H165" s="54"/>
    </row>
    <row r="166" customFormat="false" ht="18" hidden="false" customHeight="true" outlineLevel="0" collapsed="false">
      <c r="A166" s="55" t="s">
        <v>525</v>
      </c>
      <c r="B166" s="66" t="n">
        <v>2301001</v>
      </c>
      <c r="C166" s="55" t="s">
        <v>491</v>
      </c>
      <c r="D166" s="55" t="s">
        <v>450</v>
      </c>
      <c r="E166" s="67" t="n">
        <f aca="false">IF(D166="ACTIVO",1,IF(D166="PASIVO",2,IF(D166="PERDIDA",3,IF(D166="GANANCIA",4,0))))</f>
        <v>2</v>
      </c>
      <c r="F166" s="55"/>
      <c r="G166" s="55" t="s">
        <v>429</v>
      </c>
      <c r="H166" s="55"/>
    </row>
    <row r="167" customFormat="false" ht="18" hidden="false" customHeight="true" outlineLevel="0" collapsed="false">
      <c r="A167" s="54" t="s">
        <v>525</v>
      </c>
      <c r="B167" s="68" t="n">
        <v>2302001</v>
      </c>
      <c r="C167" s="54" t="s">
        <v>492</v>
      </c>
      <c r="D167" s="54" t="s">
        <v>450</v>
      </c>
      <c r="E167" s="69" t="n">
        <f aca="false">IF(D167="ACTIVO",1,IF(D167="PASIVO",2,IF(D167="PERDIDA",3,IF(D167="GANANCIA",4,0))))</f>
        <v>2</v>
      </c>
      <c r="F167" s="54"/>
      <c r="G167" s="54" t="s">
        <v>429</v>
      </c>
      <c r="H167" s="54"/>
    </row>
    <row r="168" customFormat="false" ht="18" hidden="false" customHeight="true" outlineLevel="0" collapsed="false">
      <c r="A168" s="55" t="s">
        <v>525</v>
      </c>
      <c r="B168" s="66" t="n">
        <v>2302101</v>
      </c>
      <c r="C168" s="55" t="s">
        <v>493</v>
      </c>
      <c r="D168" s="55" t="s">
        <v>450</v>
      </c>
      <c r="E168" s="67" t="n">
        <f aca="false">IF(D168="ACTIVO",1,IF(D168="PASIVO",2,IF(D168="PERDIDA",3,IF(D168="GANANCIA",4,0))))</f>
        <v>2</v>
      </c>
      <c r="F168" s="55"/>
      <c r="G168" s="55" t="s">
        <v>429</v>
      </c>
      <c r="H168" s="55"/>
    </row>
    <row r="169" customFormat="false" ht="18" hidden="false" customHeight="true" outlineLevel="0" collapsed="false">
      <c r="A169" s="54" t="s">
        <v>525</v>
      </c>
      <c r="B169" s="68" t="n">
        <v>2302201</v>
      </c>
      <c r="C169" s="54" t="s">
        <v>494</v>
      </c>
      <c r="D169" s="54" t="s">
        <v>450</v>
      </c>
      <c r="E169" s="69" t="n">
        <f aca="false">IF(D169="ACTIVO",1,IF(D169="PASIVO",2,IF(D169="PERDIDA",3,IF(D169="GANANCIA",4,0))))</f>
        <v>2</v>
      </c>
      <c r="F169" s="54"/>
      <c r="G169" s="54" t="s">
        <v>429</v>
      </c>
      <c r="H169" s="54"/>
    </row>
    <row r="170" customFormat="false" ht="18" hidden="false" customHeight="true" outlineLevel="0" collapsed="false">
      <c r="A170" s="55" t="s">
        <v>525</v>
      </c>
      <c r="B170" s="66" t="n">
        <v>3101001</v>
      </c>
      <c r="C170" s="55" t="s">
        <v>495</v>
      </c>
      <c r="D170" s="55" t="s">
        <v>496</v>
      </c>
      <c r="E170" s="67" t="n">
        <f aca="false">IF(D170="ACTIVO",1,IF(D170="PASIVO",2,IF(D170="PERDIDA",3,IF(D170="GANANCIA",4,0))))</f>
        <v>3</v>
      </c>
      <c r="F170" s="55"/>
      <c r="G170" s="55" t="s">
        <v>429</v>
      </c>
      <c r="H170" s="55"/>
    </row>
    <row r="171" customFormat="false" ht="18" hidden="false" customHeight="true" outlineLevel="0" collapsed="false">
      <c r="A171" s="54" t="s">
        <v>525</v>
      </c>
      <c r="B171" s="68" t="n">
        <v>3101002</v>
      </c>
      <c r="C171" s="54" t="s">
        <v>497</v>
      </c>
      <c r="D171" s="54" t="s">
        <v>496</v>
      </c>
      <c r="E171" s="69" t="n">
        <f aca="false">IF(D171="ACTIVO",1,IF(D171="PASIVO",2,IF(D171="PERDIDA",3,IF(D171="GANANCIA",4,0))))</f>
        <v>3</v>
      </c>
      <c r="F171" s="54"/>
      <c r="G171" s="54" t="s">
        <v>429</v>
      </c>
      <c r="H171" s="54"/>
    </row>
    <row r="172" customFormat="false" ht="18" hidden="false" customHeight="true" outlineLevel="0" collapsed="false">
      <c r="A172" s="55" t="s">
        <v>525</v>
      </c>
      <c r="B172" s="66" t="n">
        <v>3101003</v>
      </c>
      <c r="C172" s="55" t="s">
        <v>498</v>
      </c>
      <c r="D172" s="55" t="s">
        <v>496</v>
      </c>
      <c r="E172" s="67" t="n">
        <f aca="false">IF(D172="ACTIVO",1,IF(D172="PASIVO",2,IF(D172="PERDIDA",3,IF(D172="GANANCIA",4,0))))</f>
        <v>3</v>
      </c>
      <c r="F172" s="55"/>
      <c r="G172" s="55" t="s">
        <v>429</v>
      </c>
      <c r="H172" s="55"/>
    </row>
    <row r="173" customFormat="false" ht="18" hidden="false" customHeight="true" outlineLevel="0" collapsed="false">
      <c r="A173" s="54" t="s">
        <v>525</v>
      </c>
      <c r="B173" s="68" t="n">
        <v>3102002</v>
      </c>
      <c r="C173" s="54" t="s">
        <v>499</v>
      </c>
      <c r="D173" s="54" t="s">
        <v>496</v>
      </c>
      <c r="E173" s="69" t="n">
        <f aca="false">IF(D173="ACTIVO",1,IF(D173="PASIVO",2,IF(D173="PERDIDA",3,IF(D173="GANANCIA",4,0))))</f>
        <v>3</v>
      </c>
      <c r="F173" s="54"/>
      <c r="G173" s="54" t="s">
        <v>429</v>
      </c>
      <c r="H173" s="54"/>
    </row>
    <row r="174" customFormat="false" ht="18" hidden="false" customHeight="true" outlineLevel="0" collapsed="false">
      <c r="A174" s="55" t="s">
        <v>525</v>
      </c>
      <c r="B174" s="66" t="n">
        <v>3103001</v>
      </c>
      <c r="C174" s="55" t="s">
        <v>500</v>
      </c>
      <c r="D174" s="55" t="s">
        <v>496</v>
      </c>
      <c r="E174" s="67" t="n">
        <f aca="false">IF(D174="ACTIVO",1,IF(D174="PASIVO",2,IF(D174="PERDIDA",3,IF(D174="GANANCIA",4,0))))</f>
        <v>3</v>
      </c>
      <c r="F174" s="55"/>
      <c r="G174" s="55" t="s">
        <v>429</v>
      </c>
      <c r="H174" s="55"/>
    </row>
    <row r="175" customFormat="false" ht="18" hidden="false" customHeight="true" outlineLevel="0" collapsed="false">
      <c r="A175" s="54" t="s">
        <v>525</v>
      </c>
      <c r="B175" s="68" t="n">
        <v>3103002</v>
      </c>
      <c r="C175" s="54" t="s">
        <v>501</v>
      </c>
      <c r="D175" s="54" t="s">
        <v>496</v>
      </c>
      <c r="E175" s="69" t="n">
        <f aca="false">IF(D175="ACTIVO",1,IF(D175="PASIVO",2,IF(D175="PERDIDA",3,IF(D175="GANANCIA",4,0))))</f>
        <v>3</v>
      </c>
      <c r="F175" s="54"/>
      <c r="G175" s="54" t="s">
        <v>429</v>
      </c>
      <c r="H175" s="54"/>
    </row>
    <row r="176" customFormat="false" ht="18" hidden="false" customHeight="true" outlineLevel="0" collapsed="false">
      <c r="A176" s="55" t="s">
        <v>525</v>
      </c>
      <c r="B176" s="66" t="n">
        <v>3103003</v>
      </c>
      <c r="C176" s="55" t="s">
        <v>502</v>
      </c>
      <c r="D176" s="55" t="s">
        <v>496</v>
      </c>
      <c r="E176" s="67" t="n">
        <f aca="false">IF(D176="ACTIVO",1,IF(D176="PASIVO",2,IF(D176="PERDIDA",3,IF(D176="GANANCIA",4,0))))</f>
        <v>3</v>
      </c>
      <c r="F176" s="55"/>
      <c r="G176" s="55" t="s">
        <v>429</v>
      </c>
      <c r="H176" s="55"/>
    </row>
    <row r="177" customFormat="false" ht="18" hidden="false" customHeight="true" outlineLevel="0" collapsed="false">
      <c r="A177" s="54" t="s">
        <v>525</v>
      </c>
      <c r="B177" s="68" t="n">
        <v>3103004</v>
      </c>
      <c r="C177" s="54" t="s">
        <v>503</v>
      </c>
      <c r="D177" s="54" t="s">
        <v>496</v>
      </c>
      <c r="E177" s="69" t="n">
        <f aca="false">IF(D177="ACTIVO",1,IF(D177="PASIVO",2,IF(D177="PERDIDA",3,IF(D177="GANANCIA",4,0))))</f>
        <v>3</v>
      </c>
      <c r="F177" s="54"/>
      <c r="G177" s="54" t="s">
        <v>429</v>
      </c>
      <c r="H177" s="54"/>
    </row>
    <row r="178" customFormat="false" ht="18" hidden="false" customHeight="true" outlineLevel="0" collapsed="false">
      <c r="A178" s="55" t="s">
        <v>525</v>
      </c>
      <c r="B178" s="66" t="n">
        <v>3103005</v>
      </c>
      <c r="C178" s="55" t="s">
        <v>504</v>
      </c>
      <c r="D178" s="55" t="s">
        <v>496</v>
      </c>
      <c r="E178" s="67" t="n">
        <f aca="false">IF(D178="ACTIVO",1,IF(D178="PASIVO",2,IF(D178="PERDIDA",3,IF(D178="GANANCIA",4,0))))</f>
        <v>3</v>
      </c>
      <c r="F178" s="55"/>
      <c r="G178" s="55" t="s">
        <v>429</v>
      </c>
      <c r="H178" s="55"/>
    </row>
    <row r="179" customFormat="false" ht="18" hidden="false" customHeight="true" outlineLevel="0" collapsed="false">
      <c r="A179" s="54" t="s">
        <v>525</v>
      </c>
      <c r="B179" s="68" t="n">
        <v>3103006</v>
      </c>
      <c r="C179" s="54" t="s">
        <v>505</v>
      </c>
      <c r="D179" s="54" t="s">
        <v>496</v>
      </c>
      <c r="E179" s="69" t="n">
        <f aca="false">IF(D179="ACTIVO",1,IF(D179="PASIVO",2,IF(D179="PERDIDA",3,IF(D179="GANANCIA",4,0))))</f>
        <v>3</v>
      </c>
      <c r="F179" s="54"/>
      <c r="G179" s="54" t="s">
        <v>429</v>
      </c>
      <c r="H179" s="54"/>
    </row>
    <row r="180" customFormat="false" ht="18" hidden="false" customHeight="true" outlineLevel="0" collapsed="false">
      <c r="A180" s="55" t="s">
        <v>525</v>
      </c>
      <c r="B180" s="66" t="n">
        <v>3103007</v>
      </c>
      <c r="C180" s="55" t="s">
        <v>506</v>
      </c>
      <c r="D180" s="55" t="s">
        <v>496</v>
      </c>
      <c r="E180" s="67" t="n">
        <f aca="false">IF(D180="ACTIVO",1,IF(D180="PASIVO",2,IF(D180="PERDIDA",3,IF(D180="GANANCIA",4,0))))</f>
        <v>3</v>
      </c>
      <c r="F180" s="55"/>
      <c r="G180" s="55" t="s">
        <v>429</v>
      </c>
      <c r="H180" s="55"/>
    </row>
    <row r="181" customFormat="false" ht="18" hidden="false" customHeight="true" outlineLevel="0" collapsed="false">
      <c r="A181" s="54" t="s">
        <v>525</v>
      </c>
      <c r="B181" s="68" t="n">
        <v>3103008</v>
      </c>
      <c r="C181" s="54" t="s">
        <v>507</v>
      </c>
      <c r="D181" s="54" t="s">
        <v>496</v>
      </c>
      <c r="E181" s="69" t="n">
        <f aca="false">IF(D181="ACTIVO",1,IF(D181="PASIVO",2,IF(D181="PERDIDA",3,IF(D181="GANANCIA",4,0))))</f>
        <v>3</v>
      </c>
      <c r="F181" s="54"/>
      <c r="G181" s="54" t="s">
        <v>429</v>
      </c>
      <c r="H181" s="54"/>
    </row>
    <row r="182" customFormat="false" ht="18" hidden="false" customHeight="true" outlineLevel="0" collapsed="false">
      <c r="A182" s="55" t="s">
        <v>525</v>
      </c>
      <c r="B182" s="66" t="n">
        <v>3103009</v>
      </c>
      <c r="C182" s="55" t="s">
        <v>508</v>
      </c>
      <c r="D182" s="55" t="s">
        <v>496</v>
      </c>
      <c r="E182" s="67" t="n">
        <f aca="false">IF(D182="ACTIVO",1,IF(D182="PASIVO",2,IF(D182="PERDIDA",3,IF(D182="GANANCIA",4,0))))</f>
        <v>3</v>
      </c>
      <c r="F182" s="55"/>
      <c r="G182" s="55" t="s">
        <v>429</v>
      </c>
      <c r="H182" s="55"/>
    </row>
    <row r="183" customFormat="false" ht="18" hidden="false" customHeight="true" outlineLevel="0" collapsed="false">
      <c r="A183" s="54" t="s">
        <v>525</v>
      </c>
      <c r="B183" s="68" t="n">
        <v>3103010</v>
      </c>
      <c r="C183" s="54" t="s">
        <v>509</v>
      </c>
      <c r="D183" s="54" t="s">
        <v>496</v>
      </c>
      <c r="E183" s="69" t="n">
        <f aca="false">IF(D183="ACTIVO",1,IF(D183="PASIVO",2,IF(D183="PERDIDA",3,IF(D183="GANANCIA",4,0))))</f>
        <v>3</v>
      </c>
      <c r="F183" s="54"/>
      <c r="G183" s="54" t="s">
        <v>429</v>
      </c>
      <c r="H183" s="54"/>
    </row>
    <row r="184" customFormat="false" ht="18" hidden="false" customHeight="true" outlineLevel="0" collapsed="false">
      <c r="A184" s="55" t="s">
        <v>525</v>
      </c>
      <c r="B184" s="66" t="n">
        <v>3201001</v>
      </c>
      <c r="C184" s="55" t="s">
        <v>510</v>
      </c>
      <c r="D184" s="55" t="s">
        <v>496</v>
      </c>
      <c r="E184" s="67" t="n">
        <f aca="false">IF(D184="ACTIVO",1,IF(D184="PASIVO",2,IF(D184="PERDIDA",3,IF(D184="GANANCIA",4,0))))</f>
        <v>3</v>
      </c>
      <c r="F184" s="55"/>
      <c r="G184" s="55" t="s">
        <v>429</v>
      </c>
      <c r="H184" s="55"/>
    </row>
    <row r="185" customFormat="false" ht="18" hidden="false" customHeight="true" outlineLevel="0" collapsed="false">
      <c r="A185" s="54" t="s">
        <v>525</v>
      </c>
      <c r="B185" s="68" t="n">
        <v>3201101</v>
      </c>
      <c r="C185" s="54" t="s">
        <v>511</v>
      </c>
      <c r="D185" s="54" t="s">
        <v>496</v>
      </c>
      <c r="E185" s="69" t="n">
        <f aca="false">IF(D185="ACTIVO",1,IF(D185="PASIVO",2,IF(D185="PERDIDA",3,IF(D185="GANANCIA",4,0))))</f>
        <v>3</v>
      </c>
      <c r="F185" s="54"/>
      <c r="G185" s="54" t="s">
        <v>429</v>
      </c>
      <c r="H185" s="54"/>
    </row>
    <row r="186" customFormat="false" ht="18" hidden="false" customHeight="true" outlineLevel="0" collapsed="false">
      <c r="A186" s="55" t="s">
        <v>525</v>
      </c>
      <c r="B186" s="66" t="n">
        <v>3201102</v>
      </c>
      <c r="C186" s="55" t="s">
        <v>512</v>
      </c>
      <c r="D186" s="55" t="s">
        <v>496</v>
      </c>
      <c r="E186" s="67" t="n">
        <f aca="false">IF(D186="ACTIVO",1,IF(D186="PASIVO",2,IF(D186="PERDIDA",3,IF(D186="GANANCIA",4,0))))</f>
        <v>3</v>
      </c>
      <c r="F186" s="55"/>
      <c r="G186" s="55" t="s">
        <v>429</v>
      </c>
      <c r="H186" s="55"/>
    </row>
    <row r="187" customFormat="false" ht="18" hidden="false" customHeight="true" outlineLevel="0" collapsed="false">
      <c r="A187" s="54" t="s">
        <v>525</v>
      </c>
      <c r="B187" s="68" t="n">
        <v>3201103</v>
      </c>
      <c r="C187" s="54" t="s">
        <v>513</v>
      </c>
      <c r="D187" s="54" t="s">
        <v>496</v>
      </c>
      <c r="E187" s="69" t="n">
        <f aca="false">IF(D187="ACTIVO",1,IF(D187="PASIVO",2,IF(D187="PERDIDA",3,IF(D187="GANANCIA",4,0))))</f>
        <v>3</v>
      </c>
      <c r="F187" s="54"/>
      <c r="G187" s="54" t="s">
        <v>429</v>
      </c>
      <c r="H187" s="54"/>
    </row>
    <row r="188" customFormat="false" ht="18" hidden="false" customHeight="true" outlineLevel="0" collapsed="false">
      <c r="A188" s="55" t="s">
        <v>525</v>
      </c>
      <c r="B188" s="66" t="n">
        <v>3201104</v>
      </c>
      <c r="C188" s="55" t="s">
        <v>514</v>
      </c>
      <c r="D188" s="55" t="s">
        <v>496</v>
      </c>
      <c r="E188" s="67" t="n">
        <f aca="false">IF(D188="ACTIVO",1,IF(D188="PASIVO",2,IF(D188="PERDIDA",3,IF(D188="GANANCIA",4,0))))</f>
        <v>3</v>
      </c>
      <c r="F188" s="55"/>
      <c r="G188" s="55" t="s">
        <v>429</v>
      </c>
      <c r="H188" s="55"/>
    </row>
    <row r="189" customFormat="false" ht="18" hidden="false" customHeight="true" outlineLevel="0" collapsed="false">
      <c r="A189" s="54" t="s">
        <v>525</v>
      </c>
      <c r="B189" s="68" t="n">
        <v>3201401</v>
      </c>
      <c r="C189" s="54" t="s">
        <v>515</v>
      </c>
      <c r="D189" s="54" t="s">
        <v>496</v>
      </c>
      <c r="E189" s="69" t="n">
        <f aca="false">IF(D189="ACTIVO",1,IF(D189="PASIVO",2,IF(D189="PERDIDA",3,IF(D189="GANANCIA",4,0))))</f>
        <v>3</v>
      </c>
      <c r="F189" s="54"/>
      <c r="G189" s="54" t="s">
        <v>429</v>
      </c>
      <c r="H189" s="54"/>
    </row>
    <row r="190" customFormat="false" ht="18" hidden="false" customHeight="true" outlineLevel="0" collapsed="false">
      <c r="A190" s="55" t="s">
        <v>525</v>
      </c>
      <c r="B190" s="66" t="n">
        <v>3201402</v>
      </c>
      <c r="C190" s="55" t="s">
        <v>516</v>
      </c>
      <c r="D190" s="55" t="s">
        <v>496</v>
      </c>
      <c r="E190" s="67" t="n">
        <f aca="false">IF(D190="ACTIVO",1,IF(D190="PASIVO",2,IF(D190="PERDIDA",3,IF(D190="GANANCIA",4,0))))</f>
        <v>3</v>
      </c>
      <c r="F190" s="55"/>
      <c r="G190" s="55" t="s">
        <v>429</v>
      </c>
      <c r="H190" s="55"/>
    </row>
    <row r="191" customFormat="false" ht="18" hidden="false" customHeight="true" outlineLevel="0" collapsed="false">
      <c r="A191" s="54" t="s">
        <v>525</v>
      </c>
      <c r="B191" s="68" t="n">
        <v>3201403</v>
      </c>
      <c r="C191" s="54" t="s">
        <v>517</v>
      </c>
      <c r="D191" s="54" t="s">
        <v>496</v>
      </c>
      <c r="E191" s="69" t="n">
        <f aca="false">IF(D191="ACTIVO",1,IF(D191="PASIVO",2,IF(D191="PERDIDA",3,IF(D191="GANANCIA",4,0))))</f>
        <v>3</v>
      </c>
      <c r="F191" s="54"/>
      <c r="G191" s="54" t="s">
        <v>429</v>
      </c>
      <c r="H191" s="54"/>
    </row>
    <row r="192" customFormat="false" ht="18" hidden="false" customHeight="true" outlineLevel="0" collapsed="false">
      <c r="A192" s="55" t="s">
        <v>525</v>
      </c>
      <c r="B192" s="66" t="n">
        <v>3201404</v>
      </c>
      <c r="C192" s="55" t="s">
        <v>518</v>
      </c>
      <c r="D192" s="55" t="s">
        <v>496</v>
      </c>
      <c r="E192" s="67" t="n">
        <f aca="false">IF(D192="ACTIVO",1,IF(D192="PASIVO",2,IF(D192="PERDIDA",3,IF(D192="GANANCIA",4,0))))</f>
        <v>3</v>
      </c>
      <c r="F192" s="55"/>
      <c r="G192" s="55" t="s">
        <v>429</v>
      </c>
      <c r="H192" s="55"/>
    </row>
    <row r="193" customFormat="false" ht="18" hidden="false" customHeight="true" outlineLevel="0" collapsed="false">
      <c r="A193" s="54" t="s">
        <v>525</v>
      </c>
      <c r="B193" s="68" t="n">
        <v>3201501</v>
      </c>
      <c r="C193" s="54" t="s">
        <v>519</v>
      </c>
      <c r="D193" s="54" t="s">
        <v>496</v>
      </c>
      <c r="E193" s="69" t="n">
        <f aca="false">IF(D193="ACTIVO",1,IF(D193="PASIVO",2,IF(D193="PERDIDA",3,IF(D193="GANANCIA",4,0))))</f>
        <v>3</v>
      </c>
      <c r="F193" s="54"/>
      <c r="G193" s="54" t="s">
        <v>429</v>
      </c>
      <c r="H193" s="54"/>
    </row>
    <row r="194" customFormat="false" ht="18" hidden="false" customHeight="true" outlineLevel="0" collapsed="false">
      <c r="A194" s="55" t="s">
        <v>525</v>
      </c>
      <c r="B194" s="66" t="n">
        <v>4101001</v>
      </c>
      <c r="C194" s="55" t="s">
        <v>520</v>
      </c>
      <c r="D194" s="55" t="s">
        <v>521</v>
      </c>
      <c r="E194" s="67" t="n">
        <f aca="false">IF(D194="ACTIVO",1,IF(D194="PASIVO",2,IF(D194="PERDIDA",3,IF(D194="GANANCIA",4,0))))</f>
        <v>4</v>
      </c>
      <c r="F194" s="55"/>
      <c r="G194" s="55" t="s">
        <v>429</v>
      </c>
      <c r="H194" s="55"/>
    </row>
    <row r="195" customFormat="false" ht="18" hidden="false" customHeight="true" outlineLevel="0" collapsed="false">
      <c r="A195" s="54" t="s">
        <v>525</v>
      </c>
      <c r="B195" s="68" t="n">
        <v>4101002</v>
      </c>
      <c r="C195" s="54" t="s">
        <v>522</v>
      </c>
      <c r="D195" s="54" t="s">
        <v>521</v>
      </c>
      <c r="E195" s="69" t="n">
        <f aca="false">IF(D195="ACTIVO",1,IF(D195="PASIVO",2,IF(D195="PERDIDA",3,IF(D195="GANANCIA",4,0))))</f>
        <v>4</v>
      </c>
      <c r="F195" s="54"/>
      <c r="G195" s="54" t="s">
        <v>429</v>
      </c>
      <c r="H195" s="54"/>
    </row>
    <row r="196" customFormat="false" ht="18" hidden="false" customHeight="true" outlineLevel="0" collapsed="false">
      <c r="A196" s="55" t="s">
        <v>525</v>
      </c>
      <c r="B196" s="66" t="n">
        <v>4201101</v>
      </c>
      <c r="C196" s="55" t="s">
        <v>523</v>
      </c>
      <c r="D196" s="55" t="s">
        <v>521</v>
      </c>
      <c r="E196" s="67" t="n">
        <f aca="false">IF(D196="ACTIVO",1,IF(D196="PASIVO",2,IF(D196="PERDIDA",3,IF(D196="GANANCIA",4,0))))</f>
        <v>4</v>
      </c>
      <c r="F196" s="55"/>
      <c r="G196" s="55" t="s">
        <v>429</v>
      </c>
      <c r="H196" s="55"/>
    </row>
    <row r="197" customFormat="false" ht="18" hidden="false" customHeight="true" outlineLevel="0" collapsed="false">
      <c r="A197" s="54" t="s">
        <v>525</v>
      </c>
      <c r="B197" s="68" t="n">
        <v>4201102</v>
      </c>
      <c r="C197" s="54" t="s">
        <v>524</v>
      </c>
      <c r="D197" s="54" t="s">
        <v>521</v>
      </c>
      <c r="E197" s="69" t="n">
        <f aca="false">IF(D197="ACTIVO",1,IF(D197="PASIVO",2,IF(D197="PERDIDA",3,IF(D197="GANANCIA",4,0))))</f>
        <v>4</v>
      </c>
      <c r="F197" s="54"/>
      <c r="G197" s="54" t="s">
        <v>429</v>
      </c>
      <c r="H197" s="54"/>
    </row>
    <row r="198" customFormat="false" ht="18" hidden="false" customHeight="true" outlineLevel="0" collapsed="false">
      <c r="A198" s="55" t="s">
        <v>526</v>
      </c>
      <c r="B198" s="66" t="n">
        <v>1101001</v>
      </c>
      <c r="C198" s="55" t="s">
        <v>428</v>
      </c>
      <c r="D198" s="55" t="s">
        <v>232</v>
      </c>
      <c r="E198" s="67" t="n">
        <f aca="false">IF(D198="ACTIVO",1,IF(D198="PASIVO",2,IF(D198="PERDIDA",3,IF(D198="GANANCIA",4,0))))</f>
        <v>1</v>
      </c>
      <c r="F198" s="55"/>
      <c r="G198" s="55" t="s">
        <v>429</v>
      </c>
      <c r="H198" s="55"/>
    </row>
    <row r="199" customFormat="false" ht="18" hidden="false" customHeight="true" outlineLevel="0" collapsed="false">
      <c r="A199" s="54" t="s">
        <v>526</v>
      </c>
      <c r="B199" s="68" t="n">
        <v>1101002</v>
      </c>
      <c r="C199" s="54" t="s">
        <v>430</v>
      </c>
      <c r="D199" s="54" t="s">
        <v>232</v>
      </c>
      <c r="E199" s="69" t="n">
        <f aca="false">IF(D199="ACTIVO",1,IF(D199="PASIVO",2,IF(D199="PERDIDA",3,IF(D199="GANANCIA",4,0))))</f>
        <v>1</v>
      </c>
      <c r="F199" s="54"/>
      <c r="G199" s="54" t="s">
        <v>429</v>
      </c>
      <c r="H199" s="54"/>
    </row>
    <row r="200" customFormat="false" ht="18" hidden="false" customHeight="true" outlineLevel="0" collapsed="false">
      <c r="A200" s="55" t="s">
        <v>526</v>
      </c>
      <c r="B200" s="66" t="n">
        <v>1104001</v>
      </c>
      <c r="C200" s="55" t="s">
        <v>431</v>
      </c>
      <c r="D200" s="55" t="s">
        <v>232</v>
      </c>
      <c r="E200" s="67" t="n">
        <f aca="false">IF(D200="ACTIVO",1,IF(D200="PASIVO",2,IF(D200="PERDIDA",3,IF(D200="GANANCIA",4,0))))</f>
        <v>1</v>
      </c>
      <c r="F200" s="55"/>
      <c r="G200" s="55" t="s">
        <v>429</v>
      </c>
      <c r="H200" s="55"/>
    </row>
    <row r="201" customFormat="false" ht="18" hidden="false" customHeight="true" outlineLevel="0" collapsed="false">
      <c r="A201" s="54" t="s">
        <v>526</v>
      </c>
      <c r="B201" s="68" t="n">
        <v>1106001</v>
      </c>
      <c r="C201" s="54" t="s">
        <v>432</v>
      </c>
      <c r="D201" s="54" t="s">
        <v>232</v>
      </c>
      <c r="E201" s="69" t="n">
        <f aca="false">IF(D201="ACTIVO",1,IF(D201="PASIVO",2,IF(D201="PERDIDA",3,IF(D201="GANANCIA",4,0))))</f>
        <v>1</v>
      </c>
      <c r="F201" s="54"/>
      <c r="G201" s="54" t="s">
        <v>429</v>
      </c>
      <c r="H201" s="54"/>
    </row>
    <row r="202" customFormat="false" ht="18" hidden="false" customHeight="true" outlineLevel="0" collapsed="false">
      <c r="A202" s="55" t="s">
        <v>526</v>
      </c>
      <c r="B202" s="66" t="n">
        <v>1106002</v>
      </c>
      <c r="C202" s="55" t="s">
        <v>433</v>
      </c>
      <c r="D202" s="55" t="s">
        <v>232</v>
      </c>
      <c r="E202" s="67" t="n">
        <f aca="false">IF(D202="ACTIVO",1,IF(D202="PASIVO",2,IF(D202="PERDIDA",3,IF(D202="GANANCIA",4,0))))</f>
        <v>1</v>
      </c>
      <c r="F202" s="55"/>
      <c r="G202" s="55" t="s">
        <v>429</v>
      </c>
      <c r="H202" s="55"/>
    </row>
    <row r="203" customFormat="false" ht="18" hidden="false" customHeight="true" outlineLevel="0" collapsed="false">
      <c r="A203" s="54" t="s">
        <v>526</v>
      </c>
      <c r="B203" s="68" t="n">
        <v>1106003</v>
      </c>
      <c r="C203" s="54" t="s">
        <v>433</v>
      </c>
      <c r="D203" s="54" t="s">
        <v>232</v>
      </c>
      <c r="E203" s="69" t="n">
        <f aca="false">IF(D203="ACTIVO",1,IF(D203="PASIVO",2,IF(D203="PERDIDA",3,IF(D203="GANANCIA",4,0))))</f>
        <v>1</v>
      </c>
      <c r="F203" s="54"/>
      <c r="G203" s="54" t="s">
        <v>429</v>
      </c>
      <c r="H203" s="54"/>
    </row>
    <row r="204" customFormat="false" ht="18" hidden="false" customHeight="true" outlineLevel="0" collapsed="false">
      <c r="A204" s="55" t="s">
        <v>526</v>
      </c>
      <c r="B204" s="66" t="n">
        <v>1106004</v>
      </c>
      <c r="C204" s="55" t="s">
        <v>433</v>
      </c>
      <c r="D204" s="55" t="s">
        <v>232</v>
      </c>
      <c r="E204" s="67" t="n">
        <f aca="false">IF(D204="ACTIVO",1,IF(D204="PASIVO",2,IF(D204="PERDIDA",3,IF(D204="GANANCIA",4,0))))</f>
        <v>1</v>
      </c>
      <c r="F204" s="55"/>
      <c r="G204" s="55" t="s">
        <v>429</v>
      </c>
      <c r="H204" s="55"/>
    </row>
    <row r="205" customFormat="false" ht="18" hidden="false" customHeight="true" outlineLevel="0" collapsed="false">
      <c r="A205" s="54" t="s">
        <v>526</v>
      </c>
      <c r="B205" s="68" t="n">
        <v>1107001</v>
      </c>
      <c r="C205" s="54" t="s">
        <v>434</v>
      </c>
      <c r="D205" s="54" t="s">
        <v>232</v>
      </c>
      <c r="E205" s="69" t="n">
        <f aca="false">IF(D205="ACTIVO",1,IF(D205="PASIVO",2,IF(D205="PERDIDA",3,IF(D205="GANANCIA",4,0))))</f>
        <v>1</v>
      </c>
      <c r="F205" s="54"/>
      <c r="G205" s="54" t="s">
        <v>429</v>
      </c>
      <c r="H205" s="54"/>
    </row>
    <row r="206" customFormat="false" ht="18" hidden="false" customHeight="true" outlineLevel="0" collapsed="false">
      <c r="A206" s="55" t="s">
        <v>526</v>
      </c>
      <c r="B206" s="66" t="n">
        <v>1107002</v>
      </c>
      <c r="C206" s="55" t="s">
        <v>435</v>
      </c>
      <c r="D206" s="55" t="s">
        <v>232</v>
      </c>
      <c r="E206" s="67" t="n">
        <f aca="false">IF(D206="ACTIVO",1,IF(D206="PASIVO",2,IF(D206="PERDIDA",3,IF(D206="GANANCIA",4,0))))</f>
        <v>1</v>
      </c>
      <c r="F206" s="55"/>
      <c r="G206" s="55" t="s">
        <v>429</v>
      </c>
      <c r="H206" s="55"/>
    </row>
    <row r="207" customFormat="false" ht="18" hidden="false" customHeight="true" outlineLevel="0" collapsed="false">
      <c r="A207" s="54" t="s">
        <v>526</v>
      </c>
      <c r="B207" s="68" t="n">
        <v>1107003</v>
      </c>
      <c r="C207" s="54" t="s">
        <v>436</v>
      </c>
      <c r="D207" s="54" t="s">
        <v>232</v>
      </c>
      <c r="E207" s="69" t="n">
        <f aca="false">IF(D207="ACTIVO",1,IF(D207="PASIVO",2,IF(D207="PERDIDA",3,IF(D207="GANANCIA",4,0))))</f>
        <v>1</v>
      </c>
      <c r="F207" s="54"/>
      <c r="G207" s="54" t="s">
        <v>429</v>
      </c>
      <c r="H207" s="54"/>
    </row>
    <row r="208" customFormat="false" ht="18" hidden="false" customHeight="true" outlineLevel="0" collapsed="false">
      <c r="A208" s="55" t="s">
        <v>526</v>
      </c>
      <c r="B208" s="66" t="n">
        <v>1107101</v>
      </c>
      <c r="C208" s="55" t="s">
        <v>437</v>
      </c>
      <c r="D208" s="55" t="s">
        <v>232</v>
      </c>
      <c r="E208" s="67" t="n">
        <f aca="false">IF(D208="ACTIVO",1,IF(D208="PASIVO",2,IF(D208="PERDIDA",3,IF(D208="GANANCIA",4,0))))</f>
        <v>1</v>
      </c>
      <c r="F208" s="55"/>
      <c r="G208" s="55" t="s">
        <v>429</v>
      </c>
      <c r="H208" s="55"/>
    </row>
    <row r="209" customFormat="false" ht="18" hidden="false" customHeight="true" outlineLevel="0" collapsed="false">
      <c r="A209" s="54" t="s">
        <v>526</v>
      </c>
      <c r="B209" s="68" t="n">
        <v>1107103</v>
      </c>
      <c r="C209" s="54" t="s">
        <v>438</v>
      </c>
      <c r="D209" s="54" t="s">
        <v>232</v>
      </c>
      <c r="E209" s="69" t="n">
        <f aca="false">IF(D209="ACTIVO",1,IF(D209="PASIVO",2,IF(D209="PERDIDA",3,IF(D209="GANANCIA",4,0))))</f>
        <v>1</v>
      </c>
      <c r="F209" s="54"/>
      <c r="G209" s="54" t="s">
        <v>429</v>
      </c>
      <c r="H209" s="54"/>
    </row>
    <row r="210" customFormat="false" ht="18" hidden="false" customHeight="true" outlineLevel="0" collapsed="false">
      <c r="A210" s="55" t="s">
        <v>526</v>
      </c>
      <c r="B210" s="66" t="n">
        <v>1107201</v>
      </c>
      <c r="C210" s="55" t="s">
        <v>439</v>
      </c>
      <c r="D210" s="55" t="s">
        <v>232</v>
      </c>
      <c r="E210" s="67" t="n">
        <f aca="false">IF(D210="ACTIVO",1,IF(D210="PASIVO",2,IF(D210="PERDIDA",3,IF(D210="GANANCIA",4,0))))</f>
        <v>1</v>
      </c>
      <c r="F210" s="55"/>
      <c r="G210" s="55" t="s">
        <v>429</v>
      </c>
      <c r="H210" s="55"/>
    </row>
    <row r="211" customFormat="false" ht="18" hidden="false" customHeight="true" outlineLevel="0" collapsed="false">
      <c r="A211" s="54" t="s">
        <v>526</v>
      </c>
      <c r="B211" s="68" t="n">
        <v>1107301</v>
      </c>
      <c r="C211" s="54" t="s">
        <v>440</v>
      </c>
      <c r="D211" s="54" t="s">
        <v>232</v>
      </c>
      <c r="E211" s="69" t="n">
        <f aca="false">IF(D211="ACTIVO",1,IF(D211="PASIVO",2,IF(D211="PERDIDA",3,IF(D211="GANANCIA",4,0))))</f>
        <v>1</v>
      </c>
      <c r="F211" s="54"/>
      <c r="G211" s="54" t="s">
        <v>429</v>
      </c>
      <c r="H211" s="54"/>
    </row>
    <row r="212" customFormat="false" ht="18" hidden="false" customHeight="true" outlineLevel="0" collapsed="false">
      <c r="A212" s="55" t="s">
        <v>526</v>
      </c>
      <c r="B212" s="66" t="n">
        <v>1107302</v>
      </c>
      <c r="C212" s="55" t="s">
        <v>441</v>
      </c>
      <c r="D212" s="55" t="s">
        <v>232</v>
      </c>
      <c r="E212" s="67" t="n">
        <f aca="false">IF(D212="ACTIVO",1,IF(D212="PASIVO",2,IF(D212="PERDIDA",3,IF(D212="GANANCIA",4,0))))</f>
        <v>1</v>
      </c>
      <c r="F212" s="55"/>
      <c r="G212" s="55" t="s">
        <v>429</v>
      </c>
      <c r="H212" s="55"/>
    </row>
    <row r="213" customFormat="false" ht="18" hidden="false" customHeight="true" outlineLevel="0" collapsed="false">
      <c r="A213" s="54" t="s">
        <v>526</v>
      </c>
      <c r="B213" s="68" t="n">
        <v>1107401</v>
      </c>
      <c r="C213" s="54" t="s">
        <v>442</v>
      </c>
      <c r="D213" s="54" t="s">
        <v>232</v>
      </c>
      <c r="E213" s="69" t="n">
        <f aca="false">IF(D213="ACTIVO",1,IF(D213="PASIVO",2,IF(D213="PERDIDA",3,IF(D213="GANANCIA",4,0))))</f>
        <v>1</v>
      </c>
      <c r="F213" s="54"/>
      <c r="G213" s="54" t="s">
        <v>429</v>
      </c>
      <c r="H213" s="54"/>
    </row>
    <row r="214" customFormat="false" ht="18" hidden="false" customHeight="true" outlineLevel="0" collapsed="false">
      <c r="A214" s="55" t="s">
        <v>526</v>
      </c>
      <c r="B214" s="66" t="n">
        <v>1107402</v>
      </c>
      <c r="C214" s="55" t="s">
        <v>443</v>
      </c>
      <c r="D214" s="55" t="s">
        <v>232</v>
      </c>
      <c r="E214" s="67" t="n">
        <f aca="false">IF(D214="ACTIVO",1,IF(D214="PASIVO",2,IF(D214="PERDIDA",3,IF(D214="GANANCIA",4,0))))</f>
        <v>1</v>
      </c>
      <c r="F214" s="55"/>
      <c r="G214" s="55" t="s">
        <v>429</v>
      </c>
      <c r="H214" s="55"/>
    </row>
    <row r="215" customFormat="false" ht="18" hidden="false" customHeight="true" outlineLevel="0" collapsed="false">
      <c r="A215" s="54" t="s">
        <v>526</v>
      </c>
      <c r="B215" s="68" t="n">
        <v>1107404</v>
      </c>
      <c r="C215" s="54" t="s">
        <v>444</v>
      </c>
      <c r="D215" s="54" t="s">
        <v>232</v>
      </c>
      <c r="E215" s="69" t="n">
        <f aca="false">IF(D215="ACTIVO",1,IF(D215="PASIVO",2,IF(D215="PERDIDA",3,IF(D215="GANANCIA",4,0))))</f>
        <v>1</v>
      </c>
      <c r="F215" s="54"/>
      <c r="G215" s="54" t="s">
        <v>429</v>
      </c>
      <c r="H215" s="54"/>
    </row>
    <row r="216" customFormat="false" ht="18" hidden="false" customHeight="true" outlineLevel="0" collapsed="false">
      <c r="A216" s="55" t="s">
        <v>526</v>
      </c>
      <c r="B216" s="66" t="n">
        <v>1108001</v>
      </c>
      <c r="C216" s="55" t="s">
        <v>445</v>
      </c>
      <c r="D216" s="55" t="s">
        <v>232</v>
      </c>
      <c r="E216" s="67" t="n">
        <f aca="false">IF(D216="ACTIVO",1,IF(D216="PASIVO",2,IF(D216="PERDIDA",3,IF(D216="GANANCIA",4,0))))</f>
        <v>1</v>
      </c>
      <c r="F216" s="55"/>
      <c r="G216" s="55" t="s">
        <v>429</v>
      </c>
      <c r="H216" s="55"/>
    </row>
    <row r="217" customFormat="false" ht="18" hidden="false" customHeight="true" outlineLevel="0" collapsed="false">
      <c r="A217" s="54" t="s">
        <v>526</v>
      </c>
      <c r="B217" s="68" t="n">
        <v>1108002</v>
      </c>
      <c r="C217" s="54" t="s">
        <v>446</v>
      </c>
      <c r="D217" s="54" t="s">
        <v>232</v>
      </c>
      <c r="E217" s="69" t="n">
        <f aca="false">IF(D217="ACTIVO",1,IF(D217="PASIVO",2,IF(D217="PERDIDA",3,IF(D217="GANANCIA",4,0))))</f>
        <v>1</v>
      </c>
      <c r="F217" s="54"/>
      <c r="G217" s="54" t="s">
        <v>429</v>
      </c>
      <c r="H217" s="54"/>
    </row>
    <row r="218" customFormat="false" ht="18" hidden="false" customHeight="true" outlineLevel="0" collapsed="false">
      <c r="A218" s="55" t="s">
        <v>526</v>
      </c>
      <c r="B218" s="66" t="n">
        <v>1110001</v>
      </c>
      <c r="C218" s="55" t="s">
        <v>447</v>
      </c>
      <c r="D218" s="55" t="s">
        <v>232</v>
      </c>
      <c r="E218" s="67" t="n">
        <f aca="false">IF(D218="ACTIVO",1,IF(D218="PASIVO",2,IF(D218="PERDIDA",3,IF(D218="GANANCIA",4,0))))</f>
        <v>1</v>
      </c>
      <c r="F218" s="55"/>
      <c r="G218" s="55" t="s">
        <v>429</v>
      </c>
      <c r="H218" s="55"/>
    </row>
    <row r="219" customFormat="false" ht="18" hidden="false" customHeight="true" outlineLevel="0" collapsed="false">
      <c r="A219" s="54" t="s">
        <v>526</v>
      </c>
      <c r="B219" s="68" t="n">
        <v>1201001</v>
      </c>
      <c r="C219" s="54" t="s">
        <v>448</v>
      </c>
      <c r="D219" s="54" t="s">
        <v>232</v>
      </c>
      <c r="E219" s="69" t="n">
        <f aca="false">IF(D219="ACTIVO",1,IF(D219="PASIVO",2,IF(D219="PERDIDA",3,IF(D219="GANANCIA",4,0))))</f>
        <v>1</v>
      </c>
      <c r="F219" s="54"/>
      <c r="G219" s="54" t="s">
        <v>429</v>
      </c>
      <c r="H219" s="54"/>
    </row>
    <row r="220" customFormat="false" ht="18" hidden="false" customHeight="true" outlineLevel="0" collapsed="false">
      <c r="A220" s="55" t="s">
        <v>526</v>
      </c>
      <c r="B220" s="66" t="n">
        <v>1201002</v>
      </c>
      <c r="C220" s="55" t="s">
        <v>449</v>
      </c>
      <c r="D220" s="55" t="s">
        <v>450</v>
      </c>
      <c r="E220" s="67" t="n">
        <f aca="false">IF(D220="ACTIVO",1,IF(D220="PASIVO",2,IF(D220="PERDIDA",3,IF(D220="GANANCIA",4,0))))</f>
        <v>2</v>
      </c>
      <c r="F220" s="55"/>
      <c r="G220" s="55" t="s">
        <v>429</v>
      </c>
      <c r="H220" s="55"/>
    </row>
    <row r="221" customFormat="false" ht="18" hidden="false" customHeight="true" outlineLevel="0" collapsed="false">
      <c r="A221" s="54" t="s">
        <v>526</v>
      </c>
      <c r="B221" s="68" t="n">
        <v>1201003</v>
      </c>
      <c r="C221" s="54" t="s">
        <v>451</v>
      </c>
      <c r="D221" s="54" t="s">
        <v>232</v>
      </c>
      <c r="E221" s="69" t="n">
        <f aca="false">IF(D221="ACTIVO",1,IF(D221="PASIVO",2,IF(D221="PERDIDA",3,IF(D221="GANANCIA",4,0))))</f>
        <v>1</v>
      </c>
      <c r="F221" s="54"/>
      <c r="G221" s="54" t="s">
        <v>429</v>
      </c>
      <c r="H221" s="54"/>
    </row>
    <row r="222" customFormat="false" ht="18" hidden="false" customHeight="true" outlineLevel="0" collapsed="false">
      <c r="A222" s="55" t="s">
        <v>526</v>
      </c>
      <c r="B222" s="66" t="n">
        <v>1201004</v>
      </c>
      <c r="C222" s="55" t="s">
        <v>452</v>
      </c>
      <c r="D222" s="55" t="s">
        <v>450</v>
      </c>
      <c r="E222" s="67" t="n">
        <f aca="false">IF(D222="ACTIVO",1,IF(D222="PASIVO",2,IF(D222="PERDIDA",3,IF(D222="GANANCIA",4,0))))</f>
        <v>2</v>
      </c>
      <c r="F222" s="55"/>
      <c r="G222" s="55" t="s">
        <v>429</v>
      </c>
      <c r="H222" s="55"/>
    </row>
    <row r="223" customFormat="false" ht="18" hidden="false" customHeight="true" outlineLevel="0" collapsed="false">
      <c r="A223" s="54" t="s">
        <v>526</v>
      </c>
      <c r="B223" s="68" t="n">
        <v>1201005</v>
      </c>
      <c r="C223" s="54" t="s">
        <v>453</v>
      </c>
      <c r="D223" s="54" t="s">
        <v>232</v>
      </c>
      <c r="E223" s="69" t="n">
        <f aca="false">IF(D223="ACTIVO",1,IF(D223="PASIVO",2,IF(D223="PERDIDA",3,IF(D223="GANANCIA",4,0))))</f>
        <v>1</v>
      </c>
      <c r="F223" s="54"/>
      <c r="G223" s="54" t="s">
        <v>429</v>
      </c>
      <c r="H223" s="54"/>
    </row>
    <row r="224" customFormat="false" ht="18" hidden="false" customHeight="true" outlineLevel="0" collapsed="false">
      <c r="A224" s="55" t="s">
        <v>526</v>
      </c>
      <c r="B224" s="66" t="n">
        <v>1201006</v>
      </c>
      <c r="C224" s="55" t="s">
        <v>454</v>
      </c>
      <c r="D224" s="55" t="s">
        <v>450</v>
      </c>
      <c r="E224" s="67" t="n">
        <f aca="false">IF(D224="ACTIVO",1,IF(D224="PASIVO",2,IF(D224="PERDIDA",3,IF(D224="GANANCIA",4,0))))</f>
        <v>2</v>
      </c>
      <c r="F224" s="55"/>
      <c r="G224" s="55" t="s">
        <v>429</v>
      </c>
      <c r="H224" s="55"/>
    </row>
    <row r="225" customFormat="false" ht="18" hidden="false" customHeight="true" outlineLevel="0" collapsed="false">
      <c r="A225" s="54" t="s">
        <v>526</v>
      </c>
      <c r="B225" s="68" t="n">
        <v>1201007</v>
      </c>
      <c r="C225" s="54" t="s">
        <v>455</v>
      </c>
      <c r="D225" s="54" t="s">
        <v>232</v>
      </c>
      <c r="E225" s="69" t="n">
        <f aca="false">IF(D225="ACTIVO",1,IF(D225="PASIVO",2,IF(D225="PERDIDA",3,IF(D225="GANANCIA",4,0))))</f>
        <v>1</v>
      </c>
      <c r="F225" s="54"/>
      <c r="G225" s="54" t="s">
        <v>429</v>
      </c>
      <c r="H225" s="54"/>
    </row>
    <row r="226" customFormat="false" ht="18" hidden="false" customHeight="true" outlineLevel="0" collapsed="false">
      <c r="A226" s="55" t="s">
        <v>526</v>
      </c>
      <c r="B226" s="66" t="n">
        <v>1201008</v>
      </c>
      <c r="C226" s="55" t="s">
        <v>456</v>
      </c>
      <c r="D226" s="55" t="s">
        <v>232</v>
      </c>
      <c r="E226" s="67" t="n">
        <f aca="false">IF(D226="ACTIVO",1,IF(D226="PASIVO",2,IF(D226="PERDIDA",3,IF(D226="GANANCIA",4,0))))</f>
        <v>1</v>
      </c>
      <c r="F226" s="55"/>
      <c r="G226" s="55" t="s">
        <v>429</v>
      </c>
      <c r="H226" s="55"/>
    </row>
    <row r="227" customFormat="false" ht="18" hidden="false" customHeight="true" outlineLevel="0" collapsed="false">
      <c r="A227" s="54" t="s">
        <v>526</v>
      </c>
      <c r="B227" s="68" t="n">
        <v>1201010</v>
      </c>
      <c r="C227" s="54" t="s">
        <v>457</v>
      </c>
      <c r="D227" s="54" t="s">
        <v>232</v>
      </c>
      <c r="E227" s="69" t="n">
        <f aca="false">IF(D227="ACTIVO",1,IF(D227="PASIVO",2,IF(D227="PERDIDA",3,IF(D227="GANANCIA",4,0))))</f>
        <v>1</v>
      </c>
      <c r="F227" s="54"/>
      <c r="G227" s="54" t="s">
        <v>429</v>
      </c>
      <c r="H227" s="54"/>
    </row>
    <row r="228" customFormat="false" ht="18" hidden="false" customHeight="true" outlineLevel="0" collapsed="false">
      <c r="A228" s="55" t="s">
        <v>526</v>
      </c>
      <c r="B228" s="66" t="n">
        <v>1202001</v>
      </c>
      <c r="C228" s="55" t="s">
        <v>458</v>
      </c>
      <c r="D228" s="55" t="s">
        <v>232</v>
      </c>
      <c r="E228" s="67" t="n">
        <f aca="false">IF(D228="ACTIVO",1,IF(D228="PASIVO",2,IF(D228="PERDIDA",3,IF(D228="GANANCIA",4,0))))</f>
        <v>1</v>
      </c>
      <c r="F228" s="55"/>
      <c r="G228" s="55" t="s">
        <v>429</v>
      </c>
      <c r="H228" s="55"/>
    </row>
    <row r="229" customFormat="false" ht="18" hidden="false" customHeight="true" outlineLevel="0" collapsed="false">
      <c r="A229" s="54" t="s">
        <v>526</v>
      </c>
      <c r="B229" s="68" t="n">
        <v>1202003</v>
      </c>
      <c r="C229" s="54" t="s">
        <v>459</v>
      </c>
      <c r="D229" s="54" t="s">
        <v>232</v>
      </c>
      <c r="E229" s="69" t="n">
        <f aca="false">IF(D229="ACTIVO",1,IF(D229="PASIVO",2,IF(D229="PERDIDA",3,IF(D229="GANANCIA",4,0))))</f>
        <v>1</v>
      </c>
      <c r="F229" s="54"/>
      <c r="G229" s="54" t="s">
        <v>429</v>
      </c>
      <c r="H229" s="54"/>
    </row>
    <row r="230" customFormat="false" ht="18" hidden="false" customHeight="true" outlineLevel="0" collapsed="false">
      <c r="A230" s="55" t="s">
        <v>526</v>
      </c>
      <c r="B230" s="66" t="n">
        <v>1202004</v>
      </c>
      <c r="C230" s="55" t="s">
        <v>460</v>
      </c>
      <c r="D230" s="55" t="s">
        <v>232</v>
      </c>
      <c r="E230" s="67" t="n">
        <f aca="false">IF(D230="ACTIVO",1,IF(D230="PASIVO",2,IF(D230="PERDIDA",3,IF(D230="GANANCIA",4,0))))</f>
        <v>1</v>
      </c>
      <c r="F230" s="55"/>
      <c r="G230" s="55" t="s">
        <v>429</v>
      </c>
      <c r="H230" s="55"/>
    </row>
    <row r="231" customFormat="false" ht="18" hidden="false" customHeight="true" outlineLevel="0" collapsed="false">
      <c r="A231" s="54" t="s">
        <v>526</v>
      </c>
      <c r="B231" s="68" t="n">
        <v>1202005</v>
      </c>
      <c r="C231" s="54" t="s">
        <v>461</v>
      </c>
      <c r="D231" s="54" t="s">
        <v>232</v>
      </c>
      <c r="E231" s="69" t="n">
        <f aca="false">IF(D231="ACTIVO",1,IF(D231="PASIVO",2,IF(D231="PERDIDA",3,IF(D231="GANANCIA",4,0))))</f>
        <v>1</v>
      </c>
      <c r="F231" s="54"/>
      <c r="G231" s="54" t="s">
        <v>429</v>
      </c>
      <c r="H231" s="54"/>
    </row>
    <row r="232" customFormat="false" ht="18" hidden="false" customHeight="true" outlineLevel="0" collapsed="false">
      <c r="A232" s="55" t="s">
        <v>526</v>
      </c>
      <c r="B232" s="66" t="n">
        <v>1202006</v>
      </c>
      <c r="C232" s="55" t="s">
        <v>462</v>
      </c>
      <c r="D232" s="55" t="s">
        <v>450</v>
      </c>
      <c r="E232" s="67" t="n">
        <f aca="false">IF(D232="ACTIVO",1,IF(D232="PASIVO",2,IF(D232="PERDIDA",3,IF(D232="GANANCIA",4,0))))</f>
        <v>2</v>
      </c>
      <c r="F232" s="55"/>
      <c r="G232" s="55" t="s">
        <v>429</v>
      </c>
      <c r="H232" s="55"/>
    </row>
    <row r="233" customFormat="false" ht="18" hidden="false" customHeight="true" outlineLevel="0" collapsed="false">
      <c r="A233" s="54" t="s">
        <v>526</v>
      </c>
      <c r="B233" s="68" t="n">
        <v>1202007</v>
      </c>
      <c r="C233" s="54" t="s">
        <v>463</v>
      </c>
      <c r="D233" s="54" t="s">
        <v>232</v>
      </c>
      <c r="E233" s="69" t="n">
        <f aca="false">IF(D233="ACTIVO",1,IF(D233="PASIVO",2,IF(D233="PERDIDA",3,IF(D233="GANANCIA",4,0))))</f>
        <v>1</v>
      </c>
      <c r="F233" s="54"/>
      <c r="G233" s="54" t="s">
        <v>429</v>
      </c>
      <c r="H233" s="54"/>
    </row>
    <row r="234" customFormat="false" ht="18" hidden="false" customHeight="true" outlineLevel="0" collapsed="false">
      <c r="A234" s="55" t="s">
        <v>526</v>
      </c>
      <c r="B234" s="66" t="n">
        <v>1203001</v>
      </c>
      <c r="C234" s="55" t="s">
        <v>464</v>
      </c>
      <c r="D234" s="55" t="s">
        <v>232</v>
      </c>
      <c r="E234" s="67" t="n">
        <f aca="false">IF(D234="ACTIVO",1,IF(D234="PASIVO",2,IF(D234="PERDIDA",3,IF(D234="GANANCIA",4,0))))</f>
        <v>1</v>
      </c>
      <c r="F234" s="55"/>
      <c r="G234" s="55" t="s">
        <v>429</v>
      </c>
      <c r="H234" s="55"/>
    </row>
    <row r="235" customFormat="false" ht="18" hidden="false" customHeight="true" outlineLevel="0" collapsed="false">
      <c r="A235" s="54" t="s">
        <v>526</v>
      </c>
      <c r="B235" s="68" t="n">
        <v>1203002</v>
      </c>
      <c r="C235" s="54" t="s">
        <v>465</v>
      </c>
      <c r="D235" s="54" t="s">
        <v>232</v>
      </c>
      <c r="E235" s="69" t="n">
        <f aca="false">IF(D235="ACTIVO",1,IF(D235="PASIVO",2,IF(D235="PERDIDA",3,IF(D235="GANANCIA",4,0))))</f>
        <v>1</v>
      </c>
      <c r="F235" s="54"/>
      <c r="G235" s="54" t="s">
        <v>429</v>
      </c>
      <c r="H235" s="54"/>
    </row>
    <row r="236" customFormat="false" ht="18" hidden="false" customHeight="true" outlineLevel="0" collapsed="false">
      <c r="A236" s="55" t="s">
        <v>526</v>
      </c>
      <c r="B236" s="66" t="n">
        <v>1203003</v>
      </c>
      <c r="C236" s="55" t="s">
        <v>466</v>
      </c>
      <c r="D236" s="55" t="s">
        <v>450</v>
      </c>
      <c r="E236" s="67" t="n">
        <f aca="false">IF(D236="ACTIVO",1,IF(D236="PASIVO",2,IF(D236="PERDIDA",3,IF(D236="GANANCIA",4,0))))</f>
        <v>2</v>
      </c>
      <c r="F236" s="55"/>
      <c r="G236" s="55" t="s">
        <v>429</v>
      </c>
      <c r="H236" s="55"/>
    </row>
    <row r="237" customFormat="false" ht="18" hidden="false" customHeight="true" outlineLevel="0" collapsed="false">
      <c r="A237" s="54" t="s">
        <v>526</v>
      </c>
      <c r="B237" s="68" t="n">
        <v>1204001</v>
      </c>
      <c r="C237" s="54" t="s">
        <v>467</v>
      </c>
      <c r="D237" s="54" t="s">
        <v>232</v>
      </c>
      <c r="E237" s="69" t="n">
        <f aca="false">IF(D237="ACTIVO",1,IF(D237="PASIVO",2,IF(D237="PERDIDA",3,IF(D237="GANANCIA",4,0))))</f>
        <v>1</v>
      </c>
      <c r="F237" s="54"/>
      <c r="G237" s="54" t="s">
        <v>429</v>
      </c>
      <c r="H237" s="54"/>
    </row>
    <row r="238" customFormat="false" ht="18" hidden="false" customHeight="true" outlineLevel="0" collapsed="false">
      <c r="A238" s="55" t="s">
        <v>526</v>
      </c>
      <c r="B238" s="66" t="n">
        <v>1204009</v>
      </c>
      <c r="C238" s="55" t="s">
        <v>468</v>
      </c>
      <c r="D238" s="55" t="s">
        <v>450</v>
      </c>
      <c r="E238" s="67" t="n">
        <f aca="false">IF(D238="ACTIVO",1,IF(D238="PASIVO",2,IF(D238="PERDIDA",3,IF(D238="GANANCIA",4,0))))</f>
        <v>2</v>
      </c>
      <c r="F238" s="55"/>
      <c r="G238" s="55" t="s">
        <v>429</v>
      </c>
      <c r="H238" s="55"/>
    </row>
    <row r="239" customFormat="false" ht="18" hidden="false" customHeight="true" outlineLevel="0" collapsed="false">
      <c r="A239" s="54" t="s">
        <v>526</v>
      </c>
      <c r="B239" s="68" t="n">
        <v>1205001</v>
      </c>
      <c r="C239" s="54" t="s">
        <v>469</v>
      </c>
      <c r="D239" s="54" t="s">
        <v>232</v>
      </c>
      <c r="E239" s="69" t="n">
        <f aca="false">IF(D239="ACTIVO",1,IF(D239="PASIVO",2,IF(D239="PERDIDA",3,IF(D239="GANANCIA",4,0))))</f>
        <v>1</v>
      </c>
      <c r="F239" s="54"/>
      <c r="G239" s="54" t="s">
        <v>429</v>
      </c>
      <c r="H239" s="54"/>
    </row>
    <row r="240" customFormat="false" ht="18" hidden="false" customHeight="true" outlineLevel="0" collapsed="false">
      <c r="A240" s="55" t="s">
        <v>526</v>
      </c>
      <c r="B240" s="66" t="n">
        <v>1301001</v>
      </c>
      <c r="C240" s="55" t="s">
        <v>470</v>
      </c>
      <c r="D240" s="55" t="s">
        <v>232</v>
      </c>
      <c r="E240" s="67" t="n">
        <f aca="false">IF(D240="ACTIVO",1,IF(D240="PASIVO",2,IF(D240="PERDIDA",3,IF(D240="GANANCIA",4,0))))</f>
        <v>1</v>
      </c>
      <c r="F240" s="55"/>
      <c r="G240" s="55" t="s">
        <v>429</v>
      </c>
      <c r="H240" s="55"/>
    </row>
    <row r="241" customFormat="false" ht="18" hidden="false" customHeight="true" outlineLevel="0" collapsed="false">
      <c r="A241" s="54" t="s">
        <v>526</v>
      </c>
      <c r="B241" s="68" t="n">
        <v>1303001</v>
      </c>
      <c r="C241" s="54" t="s">
        <v>471</v>
      </c>
      <c r="D241" s="54" t="s">
        <v>232</v>
      </c>
      <c r="E241" s="69" t="n">
        <f aca="false">IF(D241="ACTIVO",1,IF(D241="PASIVO",2,IF(D241="PERDIDA",3,IF(D241="GANANCIA",4,0))))</f>
        <v>1</v>
      </c>
      <c r="F241" s="54"/>
      <c r="G241" s="54" t="s">
        <v>429</v>
      </c>
      <c r="H241" s="54"/>
    </row>
    <row r="242" customFormat="false" ht="18" hidden="false" customHeight="true" outlineLevel="0" collapsed="false">
      <c r="A242" s="55" t="s">
        <v>526</v>
      </c>
      <c r="B242" s="66" t="n">
        <v>2102001</v>
      </c>
      <c r="C242" s="55" t="s">
        <v>472</v>
      </c>
      <c r="D242" s="55" t="s">
        <v>450</v>
      </c>
      <c r="E242" s="67" t="n">
        <f aca="false">IF(D242="ACTIVO",1,IF(D242="PASIVO",2,IF(D242="PERDIDA",3,IF(D242="GANANCIA",4,0))))</f>
        <v>2</v>
      </c>
      <c r="F242" s="55"/>
      <c r="G242" s="55" t="s">
        <v>429</v>
      </c>
      <c r="H242" s="55"/>
    </row>
    <row r="243" customFormat="false" ht="18" hidden="false" customHeight="true" outlineLevel="0" collapsed="false">
      <c r="A243" s="54" t="s">
        <v>526</v>
      </c>
      <c r="B243" s="68" t="n">
        <v>2103001</v>
      </c>
      <c r="C243" s="54" t="s">
        <v>473</v>
      </c>
      <c r="D243" s="54" t="s">
        <v>450</v>
      </c>
      <c r="E243" s="69" t="n">
        <f aca="false">IF(D243="ACTIVO",1,IF(D243="PASIVO",2,IF(D243="PERDIDA",3,IF(D243="GANANCIA",4,0))))</f>
        <v>2</v>
      </c>
      <c r="F243" s="54"/>
      <c r="G243" s="54" t="s">
        <v>429</v>
      </c>
      <c r="H243" s="54"/>
    </row>
    <row r="244" customFormat="false" ht="18" hidden="false" customHeight="true" outlineLevel="0" collapsed="false">
      <c r="A244" s="55" t="s">
        <v>526</v>
      </c>
      <c r="B244" s="66" t="n">
        <v>2104001</v>
      </c>
      <c r="C244" s="55" t="s">
        <v>474</v>
      </c>
      <c r="D244" s="55" t="s">
        <v>450</v>
      </c>
      <c r="E244" s="67" t="n">
        <f aca="false">IF(D244="ACTIVO",1,IF(D244="PASIVO",2,IF(D244="PERDIDA",3,IF(D244="GANANCIA",4,0))))</f>
        <v>2</v>
      </c>
      <c r="F244" s="55"/>
      <c r="G244" s="55" t="s">
        <v>429</v>
      </c>
      <c r="H244" s="55"/>
    </row>
    <row r="245" customFormat="false" ht="18" hidden="false" customHeight="true" outlineLevel="0" collapsed="false">
      <c r="A245" s="54" t="s">
        <v>526</v>
      </c>
      <c r="B245" s="68" t="n">
        <v>2104003</v>
      </c>
      <c r="C245" s="54" t="s">
        <v>475</v>
      </c>
      <c r="D245" s="54" t="s">
        <v>450</v>
      </c>
      <c r="E245" s="69" t="n">
        <f aca="false">IF(D245="ACTIVO",1,IF(D245="PASIVO",2,IF(D245="PERDIDA",3,IF(D245="GANANCIA",4,0))))</f>
        <v>2</v>
      </c>
      <c r="F245" s="54"/>
      <c r="G245" s="54" t="s">
        <v>429</v>
      </c>
      <c r="H245" s="54"/>
    </row>
    <row r="246" customFormat="false" ht="18" hidden="false" customHeight="true" outlineLevel="0" collapsed="false">
      <c r="A246" s="55" t="s">
        <v>526</v>
      </c>
      <c r="B246" s="66" t="n">
        <v>2105003</v>
      </c>
      <c r="C246" s="55" t="s">
        <v>476</v>
      </c>
      <c r="D246" s="55" t="s">
        <v>450</v>
      </c>
      <c r="E246" s="67" t="n">
        <f aca="false">IF(D246="ACTIVO",1,IF(D246="PASIVO",2,IF(D246="PERDIDA",3,IF(D246="GANANCIA",4,0))))</f>
        <v>2</v>
      </c>
      <c r="F246" s="55"/>
      <c r="G246" s="55" t="s">
        <v>429</v>
      </c>
      <c r="H246" s="55"/>
    </row>
    <row r="247" customFormat="false" ht="18" hidden="false" customHeight="true" outlineLevel="0" collapsed="false">
      <c r="A247" s="54" t="s">
        <v>526</v>
      </c>
      <c r="B247" s="68" t="n">
        <v>2105004</v>
      </c>
      <c r="C247" s="54" t="s">
        <v>477</v>
      </c>
      <c r="D247" s="54" t="s">
        <v>450</v>
      </c>
      <c r="E247" s="69" t="n">
        <f aca="false">IF(D247="ACTIVO",1,IF(D247="PASIVO",2,IF(D247="PERDIDA",3,IF(D247="GANANCIA",4,0))))</f>
        <v>2</v>
      </c>
      <c r="F247" s="54"/>
      <c r="G247" s="54" t="s">
        <v>429</v>
      </c>
      <c r="H247" s="54"/>
    </row>
    <row r="248" customFormat="false" ht="18" hidden="false" customHeight="true" outlineLevel="0" collapsed="false">
      <c r="A248" s="55" t="s">
        <v>526</v>
      </c>
      <c r="B248" s="66" t="n">
        <v>2105005</v>
      </c>
      <c r="C248" s="55" t="s">
        <v>478</v>
      </c>
      <c r="D248" s="55" t="s">
        <v>450</v>
      </c>
      <c r="E248" s="67" t="n">
        <f aca="false">IF(D248="ACTIVO",1,IF(D248="PASIVO",2,IF(D248="PERDIDA",3,IF(D248="GANANCIA",4,0))))</f>
        <v>2</v>
      </c>
      <c r="F248" s="55"/>
      <c r="G248" s="55" t="s">
        <v>429</v>
      </c>
      <c r="H248" s="55"/>
    </row>
    <row r="249" customFormat="false" ht="18" hidden="false" customHeight="true" outlineLevel="0" collapsed="false">
      <c r="A249" s="54" t="s">
        <v>526</v>
      </c>
      <c r="B249" s="68" t="n">
        <v>2105006</v>
      </c>
      <c r="C249" s="54" t="s">
        <v>479</v>
      </c>
      <c r="D249" s="54" t="s">
        <v>450</v>
      </c>
      <c r="E249" s="69" t="n">
        <f aca="false">IF(D249="ACTIVO",1,IF(D249="PASIVO",2,IF(D249="PERDIDA",3,IF(D249="GANANCIA",4,0))))</f>
        <v>2</v>
      </c>
      <c r="F249" s="54"/>
      <c r="G249" s="54" t="s">
        <v>429</v>
      </c>
      <c r="H249" s="54"/>
    </row>
    <row r="250" customFormat="false" ht="18" hidden="false" customHeight="true" outlineLevel="0" collapsed="false">
      <c r="A250" s="55" t="s">
        <v>526</v>
      </c>
      <c r="B250" s="66" t="n">
        <v>2105101</v>
      </c>
      <c r="C250" s="55" t="s">
        <v>480</v>
      </c>
      <c r="D250" s="55" t="s">
        <v>450</v>
      </c>
      <c r="E250" s="67" t="n">
        <f aca="false">IF(D250="ACTIVO",1,IF(D250="PASIVO",2,IF(D250="PERDIDA",3,IF(D250="GANANCIA",4,0))))</f>
        <v>2</v>
      </c>
      <c r="F250" s="55"/>
      <c r="G250" s="55" t="s">
        <v>429</v>
      </c>
      <c r="H250" s="55"/>
    </row>
    <row r="251" customFormat="false" ht="18" hidden="false" customHeight="true" outlineLevel="0" collapsed="false">
      <c r="A251" s="54" t="s">
        <v>526</v>
      </c>
      <c r="B251" s="68" t="n">
        <v>2105102</v>
      </c>
      <c r="C251" s="54" t="s">
        <v>481</v>
      </c>
      <c r="D251" s="54" t="s">
        <v>450</v>
      </c>
      <c r="E251" s="69" t="n">
        <f aca="false">IF(D251="ACTIVO",1,IF(D251="PASIVO",2,IF(D251="PERDIDA",3,IF(D251="GANANCIA",4,0))))</f>
        <v>2</v>
      </c>
      <c r="F251" s="54"/>
      <c r="G251" s="54" t="s">
        <v>429</v>
      </c>
      <c r="H251" s="54"/>
    </row>
    <row r="252" customFormat="false" ht="18" hidden="false" customHeight="true" outlineLevel="0" collapsed="false">
      <c r="A252" s="55" t="s">
        <v>526</v>
      </c>
      <c r="B252" s="66" t="n">
        <v>2105201</v>
      </c>
      <c r="C252" s="55" t="s">
        <v>482</v>
      </c>
      <c r="D252" s="55" t="s">
        <v>450</v>
      </c>
      <c r="E252" s="67" t="n">
        <f aca="false">IF(D252="ACTIVO",1,IF(D252="PASIVO",2,IF(D252="PERDIDA",3,IF(D252="GANANCIA",4,0))))</f>
        <v>2</v>
      </c>
      <c r="F252" s="55"/>
      <c r="G252" s="55" t="s">
        <v>429</v>
      </c>
      <c r="H252" s="55"/>
    </row>
    <row r="253" customFormat="false" ht="18" hidden="false" customHeight="true" outlineLevel="0" collapsed="false">
      <c r="A253" s="54" t="s">
        <v>526</v>
      </c>
      <c r="B253" s="68" t="n">
        <v>2105401</v>
      </c>
      <c r="C253" s="54" t="s">
        <v>483</v>
      </c>
      <c r="D253" s="54" t="s">
        <v>450</v>
      </c>
      <c r="E253" s="69" t="n">
        <f aca="false">IF(D253="ACTIVO",1,IF(D253="PASIVO",2,IF(D253="PERDIDA",3,IF(D253="GANANCIA",4,0))))</f>
        <v>2</v>
      </c>
      <c r="F253" s="54"/>
      <c r="G253" s="54" t="s">
        <v>429</v>
      </c>
      <c r="H253" s="54"/>
    </row>
    <row r="254" customFormat="false" ht="18" hidden="false" customHeight="true" outlineLevel="0" collapsed="false">
      <c r="A254" s="55" t="s">
        <v>526</v>
      </c>
      <c r="B254" s="66" t="n">
        <v>2106001</v>
      </c>
      <c r="C254" s="55" t="s">
        <v>484</v>
      </c>
      <c r="D254" s="55" t="s">
        <v>450</v>
      </c>
      <c r="E254" s="67" t="n">
        <f aca="false">IF(D254="ACTIVO",1,IF(D254="PASIVO",2,IF(D254="PERDIDA",3,IF(D254="GANANCIA",4,0))))</f>
        <v>2</v>
      </c>
      <c r="F254" s="55"/>
      <c r="G254" s="55" t="s">
        <v>429</v>
      </c>
      <c r="H254" s="55"/>
    </row>
    <row r="255" customFormat="false" ht="18" hidden="false" customHeight="true" outlineLevel="0" collapsed="false">
      <c r="A255" s="54" t="s">
        <v>526</v>
      </c>
      <c r="B255" s="68" t="n">
        <v>2106002</v>
      </c>
      <c r="C255" s="54" t="s">
        <v>485</v>
      </c>
      <c r="D255" s="54" t="s">
        <v>450</v>
      </c>
      <c r="E255" s="69" t="n">
        <f aca="false">IF(D255="ACTIVO",1,IF(D255="PASIVO",2,IF(D255="PERDIDA",3,IF(D255="GANANCIA",4,0))))</f>
        <v>2</v>
      </c>
      <c r="F255" s="54"/>
      <c r="G255" s="54" t="s">
        <v>429</v>
      </c>
      <c r="H255" s="54"/>
    </row>
    <row r="256" customFormat="false" ht="18" hidden="false" customHeight="true" outlineLevel="0" collapsed="false">
      <c r="A256" s="55" t="s">
        <v>526</v>
      </c>
      <c r="B256" s="66" t="n">
        <v>2107001</v>
      </c>
      <c r="C256" s="55" t="s">
        <v>486</v>
      </c>
      <c r="D256" s="55" t="s">
        <v>450</v>
      </c>
      <c r="E256" s="67" t="n">
        <f aca="false">IF(D256="ACTIVO",1,IF(D256="PASIVO",2,IF(D256="PERDIDA",3,IF(D256="GANANCIA",4,0))))</f>
        <v>2</v>
      </c>
      <c r="F256" s="55"/>
      <c r="G256" s="55" t="s">
        <v>429</v>
      </c>
      <c r="H256" s="55"/>
    </row>
    <row r="257" customFormat="false" ht="18" hidden="false" customHeight="true" outlineLevel="0" collapsed="false">
      <c r="A257" s="54" t="s">
        <v>526</v>
      </c>
      <c r="B257" s="68" t="n">
        <v>2108001</v>
      </c>
      <c r="C257" s="54" t="s">
        <v>487</v>
      </c>
      <c r="D257" s="54" t="s">
        <v>450</v>
      </c>
      <c r="E257" s="69" t="n">
        <f aca="false">IF(D257="ACTIVO",1,IF(D257="PASIVO",2,IF(D257="PERDIDA",3,IF(D257="GANANCIA",4,0))))</f>
        <v>2</v>
      </c>
      <c r="F257" s="54"/>
      <c r="G257" s="54" t="s">
        <v>429</v>
      </c>
      <c r="H257" s="54"/>
    </row>
    <row r="258" customFormat="false" ht="18" hidden="false" customHeight="true" outlineLevel="0" collapsed="false">
      <c r="A258" s="55" t="s">
        <v>526</v>
      </c>
      <c r="B258" s="66" t="n">
        <v>2108003</v>
      </c>
      <c r="C258" s="55" t="s">
        <v>488</v>
      </c>
      <c r="D258" s="55" t="s">
        <v>450</v>
      </c>
      <c r="E258" s="67" t="n">
        <f aca="false">IF(D258="ACTIVO",1,IF(D258="PASIVO",2,IF(D258="PERDIDA",3,IF(D258="GANANCIA",4,0))))</f>
        <v>2</v>
      </c>
      <c r="F258" s="55"/>
      <c r="G258" s="55" t="s">
        <v>429</v>
      </c>
      <c r="H258" s="55"/>
    </row>
    <row r="259" customFormat="false" ht="18" hidden="false" customHeight="true" outlineLevel="0" collapsed="false">
      <c r="A259" s="54" t="s">
        <v>526</v>
      </c>
      <c r="B259" s="68" t="n">
        <v>2201001</v>
      </c>
      <c r="C259" s="54" t="s">
        <v>489</v>
      </c>
      <c r="D259" s="54" t="s">
        <v>450</v>
      </c>
      <c r="E259" s="69" t="n">
        <f aca="false">IF(D259="ACTIVO",1,IF(D259="PASIVO",2,IF(D259="PERDIDA",3,IF(D259="GANANCIA",4,0))))</f>
        <v>2</v>
      </c>
      <c r="F259" s="54"/>
      <c r="G259" s="54" t="s">
        <v>429</v>
      </c>
      <c r="H259" s="54"/>
    </row>
    <row r="260" customFormat="false" ht="18" hidden="false" customHeight="true" outlineLevel="0" collapsed="false">
      <c r="A260" s="55" t="s">
        <v>526</v>
      </c>
      <c r="B260" s="66" t="n">
        <v>2201002</v>
      </c>
      <c r="C260" s="55" t="s">
        <v>490</v>
      </c>
      <c r="D260" s="55" t="s">
        <v>450</v>
      </c>
      <c r="E260" s="67" t="n">
        <f aca="false">IF(D260="ACTIVO",1,IF(D260="PASIVO",2,IF(D260="PERDIDA",3,IF(D260="GANANCIA",4,0))))</f>
        <v>2</v>
      </c>
      <c r="F260" s="55"/>
      <c r="G260" s="55" t="s">
        <v>429</v>
      </c>
      <c r="H260" s="55"/>
    </row>
    <row r="261" customFormat="false" ht="18" hidden="false" customHeight="true" outlineLevel="0" collapsed="false">
      <c r="A261" s="54" t="s">
        <v>526</v>
      </c>
      <c r="B261" s="68" t="n">
        <v>2301001</v>
      </c>
      <c r="C261" s="54" t="s">
        <v>491</v>
      </c>
      <c r="D261" s="54" t="s">
        <v>450</v>
      </c>
      <c r="E261" s="69" t="n">
        <f aca="false">IF(D261="ACTIVO",1,IF(D261="PASIVO",2,IF(D261="PERDIDA",3,IF(D261="GANANCIA",4,0))))</f>
        <v>2</v>
      </c>
      <c r="F261" s="54"/>
      <c r="G261" s="54" t="s">
        <v>429</v>
      </c>
      <c r="H261" s="54"/>
    </row>
    <row r="262" customFormat="false" ht="18" hidden="false" customHeight="true" outlineLevel="0" collapsed="false">
      <c r="A262" s="55" t="s">
        <v>526</v>
      </c>
      <c r="B262" s="66" t="n">
        <v>2302001</v>
      </c>
      <c r="C262" s="55" t="s">
        <v>492</v>
      </c>
      <c r="D262" s="55" t="s">
        <v>450</v>
      </c>
      <c r="E262" s="67" t="n">
        <f aca="false">IF(D262="ACTIVO",1,IF(D262="PASIVO",2,IF(D262="PERDIDA",3,IF(D262="GANANCIA",4,0))))</f>
        <v>2</v>
      </c>
      <c r="F262" s="55"/>
      <c r="G262" s="55" t="s">
        <v>429</v>
      </c>
      <c r="H262" s="55"/>
    </row>
    <row r="263" customFormat="false" ht="18" hidden="false" customHeight="true" outlineLevel="0" collapsed="false">
      <c r="A263" s="54" t="s">
        <v>526</v>
      </c>
      <c r="B263" s="68" t="n">
        <v>2302101</v>
      </c>
      <c r="C263" s="54" t="s">
        <v>493</v>
      </c>
      <c r="D263" s="54" t="s">
        <v>450</v>
      </c>
      <c r="E263" s="69" t="n">
        <f aca="false">IF(D263="ACTIVO",1,IF(D263="PASIVO",2,IF(D263="PERDIDA",3,IF(D263="GANANCIA",4,0))))</f>
        <v>2</v>
      </c>
      <c r="F263" s="54"/>
      <c r="G263" s="54" t="s">
        <v>429</v>
      </c>
      <c r="H263" s="54"/>
    </row>
    <row r="264" customFormat="false" ht="18" hidden="false" customHeight="true" outlineLevel="0" collapsed="false">
      <c r="A264" s="55" t="s">
        <v>526</v>
      </c>
      <c r="B264" s="66" t="n">
        <v>2302201</v>
      </c>
      <c r="C264" s="55" t="s">
        <v>494</v>
      </c>
      <c r="D264" s="55" t="s">
        <v>450</v>
      </c>
      <c r="E264" s="67" t="n">
        <f aca="false">IF(D264="ACTIVO",1,IF(D264="PASIVO",2,IF(D264="PERDIDA",3,IF(D264="GANANCIA",4,0))))</f>
        <v>2</v>
      </c>
      <c r="F264" s="55"/>
      <c r="G264" s="55" t="s">
        <v>429</v>
      </c>
      <c r="H264" s="55"/>
    </row>
    <row r="265" customFormat="false" ht="18" hidden="false" customHeight="true" outlineLevel="0" collapsed="false">
      <c r="A265" s="54" t="s">
        <v>526</v>
      </c>
      <c r="B265" s="68" t="n">
        <v>3101001</v>
      </c>
      <c r="C265" s="54" t="s">
        <v>495</v>
      </c>
      <c r="D265" s="54" t="s">
        <v>496</v>
      </c>
      <c r="E265" s="69" t="n">
        <f aca="false">IF(D265="ACTIVO",1,IF(D265="PASIVO",2,IF(D265="PERDIDA",3,IF(D265="GANANCIA",4,0))))</f>
        <v>3</v>
      </c>
      <c r="F265" s="54"/>
      <c r="G265" s="54" t="s">
        <v>429</v>
      </c>
      <c r="H265" s="54"/>
    </row>
    <row r="266" customFormat="false" ht="18" hidden="false" customHeight="true" outlineLevel="0" collapsed="false">
      <c r="A266" s="55" t="s">
        <v>526</v>
      </c>
      <c r="B266" s="66" t="n">
        <v>3101002</v>
      </c>
      <c r="C266" s="55" t="s">
        <v>497</v>
      </c>
      <c r="D266" s="55" t="s">
        <v>496</v>
      </c>
      <c r="E266" s="67" t="n">
        <f aca="false">IF(D266="ACTIVO",1,IF(D266="PASIVO",2,IF(D266="PERDIDA",3,IF(D266="GANANCIA",4,0))))</f>
        <v>3</v>
      </c>
      <c r="F266" s="55"/>
      <c r="G266" s="55" t="s">
        <v>429</v>
      </c>
      <c r="H266" s="55"/>
    </row>
    <row r="267" customFormat="false" ht="18" hidden="false" customHeight="true" outlineLevel="0" collapsed="false">
      <c r="A267" s="54" t="s">
        <v>526</v>
      </c>
      <c r="B267" s="68" t="n">
        <v>3101003</v>
      </c>
      <c r="C267" s="54" t="s">
        <v>498</v>
      </c>
      <c r="D267" s="54" t="s">
        <v>496</v>
      </c>
      <c r="E267" s="69" t="n">
        <f aca="false">IF(D267="ACTIVO",1,IF(D267="PASIVO",2,IF(D267="PERDIDA",3,IF(D267="GANANCIA",4,0))))</f>
        <v>3</v>
      </c>
      <c r="F267" s="54"/>
      <c r="G267" s="54" t="s">
        <v>429</v>
      </c>
      <c r="H267" s="54"/>
    </row>
    <row r="268" customFormat="false" ht="18" hidden="false" customHeight="true" outlineLevel="0" collapsed="false">
      <c r="A268" s="55" t="s">
        <v>526</v>
      </c>
      <c r="B268" s="66" t="n">
        <v>3102002</v>
      </c>
      <c r="C268" s="55" t="s">
        <v>499</v>
      </c>
      <c r="D268" s="55" t="s">
        <v>496</v>
      </c>
      <c r="E268" s="67" t="n">
        <f aca="false">IF(D268="ACTIVO",1,IF(D268="PASIVO",2,IF(D268="PERDIDA",3,IF(D268="GANANCIA",4,0))))</f>
        <v>3</v>
      </c>
      <c r="F268" s="55"/>
      <c r="G268" s="55" t="s">
        <v>429</v>
      </c>
      <c r="H268" s="55"/>
    </row>
    <row r="269" customFormat="false" ht="18" hidden="false" customHeight="true" outlineLevel="0" collapsed="false">
      <c r="A269" s="54" t="s">
        <v>526</v>
      </c>
      <c r="B269" s="68" t="n">
        <v>3103001</v>
      </c>
      <c r="C269" s="54" t="s">
        <v>500</v>
      </c>
      <c r="D269" s="54" t="s">
        <v>496</v>
      </c>
      <c r="E269" s="69" t="n">
        <f aca="false">IF(D269="ACTIVO",1,IF(D269="PASIVO",2,IF(D269="PERDIDA",3,IF(D269="GANANCIA",4,0))))</f>
        <v>3</v>
      </c>
      <c r="F269" s="54"/>
      <c r="G269" s="54" t="s">
        <v>429</v>
      </c>
      <c r="H269" s="54"/>
    </row>
    <row r="270" customFormat="false" ht="18" hidden="false" customHeight="true" outlineLevel="0" collapsed="false">
      <c r="A270" s="55" t="s">
        <v>526</v>
      </c>
      <c r="B270" s="66" t="n">
        <v>3103002</v>
      </c>
      <c r="C270" s="55" t="s">
        <v>501</v>
      </c>
      <c r="D270" s="55" t="s">
        <v>496</v>
      </c>
      <c r="E270" s="67" t="n">
        <f aca="false">IF(D270="ACTIVO",1,IF(D270="PASIVO",2,IF(D270="PERDIDA",3,IF(D270="GANANCIA",4,0))))</f>
        <v>3</v>
      </c>
      <c r="F270" s="55"/>
      <c r="G270" s="55" t="s">
        <v>429</v>
      </c>
      <c r="H270" s="55"/>
    </row>
    <row r="271" customFormat="false" ht="18" hidden="false" customHeight="true" outlineLevel="0" collapsed="false">
      <c r="A271" s="54" t="s">
        <v>526</v>
      </c>
      <c r="B271" s="68" t="n">
        <v>3103003</v>
      </c>
      <c r="C271" s="54" t="s">
        <v>502</v>
      </c>
      <c r="D271" s="54" t="s">
        <v>496</v>
      </c>
      <c r="E271" s="69" t="n">
        <f aca="false">IF(D271="ACTIVO",1,IF(D271="PASIVO",2,IF(D271="PERDIDA",3,IF(D271="GANANCIA",4,0))))</f>
        <v>3</v>
      </c>
      <c r="F271" s="54"/>
      <c r="G271" s="54" t="s">
        <v>429</v>
      </c>
      <c r="H271" s="54"/>
    </row>
    <row r="272" customFormat="false" ht="18" hidden="false" customHeight="true" outlineLevel="0" collapsed="false">
      <c r="A272" s="55" t="s">
        <v>526</v>
      </c>
      <c r="B272" s="66" t="n">
        <v>3103004</v>
      </c>
      <c r="C272" s="55" t="s">
        <v>503</v>
      </c>
      <c r="D272" s="55" t="s">
        <v>496</v>
      </c>
      <c r="E272" s="67" t="n">
        <f aca="false">IF(D272="ACTIVO",1,IF(D272="PASIVO",2,IF(D272="PERDIDA",3,IF(D272="GANANCIA",4,0))))</f>
        <v>3</v>
      </c>
      <c r="F272" s="55"/>
      <c r="G272" s="55" t="s">
        <v>429</v>
      </c>
      <c r="H272" s="55"/>
    </row>
    <row r="273" customFormat="false" ht="18" hidden="false" customHeight="true" outlineLevel="0" collapsed="false">
      <c r="A273" s="54" t="s">
        <v>526</v>
      </c>
      <c r="B273" s="68" t="n">
        <v>3103005</v>
      </c>
      <c r="C273" s="54" t="s">
        <v>504</v>
      </c>
      <c r="D273" s="54" t="s">
        <v>496</v>
      </c>
      <c r="E273" s="69" t="n">
        <f aca="false">IF(D273="ACTIVO",1,IF(D273="PASIVO",2,IF(D273="PERDIDA",3,IF(D273="GANANCIA",4,0))))</f>
        <v>3</v>
      </c>
      <c r="F273" s="54"/>
      <c r="G273" s="54" t="s">
        <v>429</v>
      </c>
      <c r="H273" s="54"/>
    </row>
    <row r="274" customFormat="false" ht="18" hidden="false" customHeight="true" outlineLevel="0" collapsed="false">
      <c r="A274" s="55" t="s">
        <v>526</v>
      </c>
      <c r="B274" s="66" t="n">
        <v>3103006</v>
      </c>
      <c r="C274" s="55" t="s">
        <v>505</v>
      </c>
      <c r="D274" s="55" t="s">
        <v>496</v>
      </c>
      <c r="E274" s="67" t="n">
        <f aca="false">IF(D274="ACTIVO",1,IF(D274="PASIVO",2,IF(D274="PERDIDA",3,IF(D274="GANANCIA",4,0))))</f>
        <v>3</v>
      </c>
      <c r="F274" s="55"/>
      <c r="G274" s="55" t="s">
        <v>429</v>
      </c>
      <c r="H274" s="55"/>
    </row>
    <row r="275" customFormat="false" ht="18" hidden="false" customHeight="true" outlineLevel="0" collapsed="false">
      <c r="A275" s="54" t="s">
        <v>526</v>
      </c>
      <c r="B275" s="68" t="n">
        <v>3103007</v>
      </c>
      <c r="C275" s="54" t="s">
        <v>506</v>
      </c>
      <c r="D275" s="54" t="s">
        <v>496</v>
      </c>
      <c r="E275" s="69" t="n">
        <f aca="false">IF(D275="ACTIVO",1,IF(D275="PASIVO",2,IF(D275="PERDIDA",3,IF(D275="GANANCIA",4,0))))</f>
        <v>3</v>
      </c>
      <c r="F275" s="54"/>
      <c r="G275" s="54" t="s">
        <v>429</v>
      </c>
      <c r="H275" s="54"/>
    </row>
    <row r="276" customFormat="false" ht="18" hidden="false" customHeight="true" outlineLevel="0" collapsed="false">
      <c r="A276" s="55" t="s">
        <v>526</v>
      </c>
      <c r="B276" s="66" t="n">
        <v>3103008</v>
      </c>
      <c r="C276" s="55" t="s">
        <v>507</v>
      </c>
      <c r="D276" s="55" t="s">
        <v>496</v>
      </c>
      <c r="E276" s="67" t="n">
        <f aca="false">IF(D276="ACTIVO",1,IF(D276="PASIVO",2,IF(D276="PERDIDA",3,IF(D276="GANANCIA",4,0))))</f>
        <v>3</v>
      </c>
      <c r="F276" s="55"/>
      <c r="G276" s="55" t="s">
        <v>429</v>
      </c>
      <c r="H276" s="55"/>
    </row>
    <row r="277" customFormat="false" ht="18" hidden="false" customHeight="true" outlineLevel="0" collapsed="false">
      <c r="A277" s="54" t="s">
        <v>526</v>
      </c>
      <c r="B277" s="68" t="n">
        <v>3103009</v>
      </c>
      <c r="C277" s="54" t="s">
        <v>508</v>
      </c>
      <c r="D277" s="54" t="s">
        <v>496</v>
      </c>
      <c r="E277" s="69" t="n">
        <f aca="false">IF(D277="ACTIVO",1,IF(D277="PASIVO",2,IF(D277="PERDIDA",3,IF(D277="GANANCIA",4,0))))</f>
        <v>3</v>
      </c>
      <c r="F277" s="54"/>
      <c r="G277" s="54" t="s">
        <v>429</v>
      </c>
      <c r="H277" s="54"/>
    </row>
    <row r="278" customFormat="false" ht="18" hidden="false" customHeight="true" outlineLevel="0" collapsed="false">
      <c r="A278" s="55" t="s">
        <v>526</v>
      </c>
      <c r="B278" s="66" t="n">
        <v>3103010</v>
      </c>
      <c r="C278" s="55" t="s">
        <v>509</v>
      </c>
      <c r="D278" s="55" t="s">
        <v>496</v>
      </c>
      <c r="E278" s="67" t="n">
        <f aca="false">IF(D278="ACTIVO",1,IF(D278="PASIVO",2,IF(D278="PERDIDA",3,IF(D278="GANANCIA",4,0))))</f>
        <v>3</v>
      </c>
      <c r="F278" s="55"/>
      <c r="G278" s="55" t="s">
        <v>429</v>
      </c>
      <c r="H278" s="55"/>
    </row>
    <row r="279" customFormat="false" ht="18" hidden="false" customHeight="true" outlineLevel="0" collapsed="false">
      <c r="A279" s="54" t="s">
        <v>526</v>
      </c>
      <c r="B279" s="68" t="n">
        <v>3201001</v>
      </c>
      <c r="C279" s="54" t="s">
        <v>510</v>
      </c>
      <c r="D279" s="54" t="s">
        <v>496</v>
      </c>
      <c r="E279" s="69" t="n">
        <f aca="false">IF(D279="ACTIVO",1,IF(D279="PASIVO",2,IF(D279="PERDIDA",3,IF(D279="GANANCIA",4,0))))</f>
        <v>3</v>
      </c>
      <c r="F279" s="54"/>
      <c r="G279" s="54" t="s">
        <v>429</v>
      </c>
      <c r="H279" s="54"/>
    </row>
    <row r="280" customFormat="false" ht="18" hidden="false" customHeight="true" outlineLevel="0" collapsed="false">
      <c r="A280" s="55" t="s">
        <v>526</v>
      </c>
      <c r="B280" s="66" t="n">
        <v>3201101</v>
      </c>
      <c r="C280" s="55" t="s">
        <v>511</v>
      </c>
      <c r="D280" s="55" t="s">
        <v>496</v>
      </c>
      <c r="E280" s="67" t="n">
        <f aca="false">IF(D280="ACTIVO",1,IF(D280="PASIVO",2,IF(D280="PERDIDA",3,IF(D280="GANANCIA",4,0))))</f>
        <v>3</v>
      </c>
      <c r="F280" s="55"/>
      <c r="G280" s="55" t="s">
        <v>429</v>
      </c>
      <c r="H280" s="55"/>
    </row>
    <row r="281" customFormat="false" ht="18" hidden="false" customHeight="true" outlineLevel="0" collapsed="false">
      <c r="A281" s="54" t="s">
        <v>526</v>
      </c>
      <c r="B281" s="68" t="n">
        <v>3201102</v>
      </c>
      <c r="C281" s="54" t="s">
        <v>512</v>
      </c>
      <c r="D281" s="54" t="s">
        <v>496</v>
      </c>
      <c r="E281" s="69" t="n">
        <f aca="false">IF(D281="ACTIVO",1,IF(D281="PASIVO",2,IF(D281="PERDIDA",3,IF(D281="GANANCIA",4,0))))</f>
        <v>3</v>
      </c>
      <c r="F281" s="54"/>
      <c r="G281" s="54" t="s">
        <v>429</v>
      </c>
      <c r="H281" s="54"/>
    </row>
    <row r="282" customFormat="false" ht="18" hidden="false" customHeight="true" outlineLevel="0" collapsed="false">
      <c r="A282" s="55" t="s">
        <v>526</v>
      </c>
      <c r="B282" s="66" t="n">
        <v>3201103</v>
      </c>
      <c r="C282" s="55" t="s">
        <v>513</v>
      </c>
      <c r="D282" s="55" t="s">
        <v>496</v>
      </c>
      <c r="E282" s="67" t="n">
        <f aca="false">IF(D282="ACTIVO",1,IF(D282="PASIVO",2,IF(D282="PERDIDA",3,IF(D282="GANANCIA",4,0))))</f>
        <v>3</v>
      </c>
      <c r="F282" s="55"/>
      <c r="G282" s="55" t="s">
        <v>429</v>
      </c>
      <c r="H282" s="55"/>
    </row>
    <row r="283" customFormat="false" ht="18" hidden="false" customHeight="true" outlineLevel="0" collapsed="false">
      <c r="A283" s="54" t="s">
        <v>526</v>
      </c>
      <c r="B283" s="68" t="n">
        <v>3201104</v>
      </c>
      <c r="C283" s="54" t="s">
        <v>514</v>
      </c>
      <c r="D283" s="54" t="s">
        <v>496</v>
      </c>
      <c r="E283" s="69" t="n">
        <f aca="false">IF(D283="ACTIVO",1,IF(D283="PASIVO",2,IF(D283="PERDIDA",3,IF(D283="GANANCIA",4,0))))</f>
        <v>3</v>
      </c>
      <c r="F283" s="54"/>
      <c r="G283" s="54" t="s">
        <v>429</v>
      </c>
      <c r="H283" s="54"/>
    </row>
    <row r="284" customFormat="false" ht="18" hidden="false" customHeight="true" outlineLevel="0" collapsed="false">
      <c r="A284" s="55" t="s">
        <v>526</v>
      </c>
      <c r="B284" s="66" t="n">
        <v>3201401</v>
      </c>
      <c r="C284" s="55" t="s">
        <v>515</v>
      </c>
      <c r="D284" s="55" t="s">
        <v>496</v>
      </c>
      <c r="E284" s="67" t="n">
        <f aca="false">IF(D284="ACTIVO",1,IF(D284="PASIVO",2,IF(D284="PERDIDA",3,IF(D284="GANANCIA",4,0))))</f>
        <v>3</v>
      </c>
      <c r="F284" s="55"/>
      <c r="G284" s="55" t="s">
        <v>429</v>
      </c>
      <c r="H284" s="55"/>
    </row>
    <row r="285" customFormat="false" ht="18" hidden="false" customHeight="true" outlineLevel="0" collapsed="false">
      <c r="A285" s="54" t="s">
        <v>526</v>
      </c>
      <c r="B285" s="68" t="n">
        <v>3201402</v>
      </c>
      <c r="C285" s="54" t="s">
        <v>516</v>
      </c>
      <c r="D285" s="54" t="s">
        <v>496</v>
      </c>
      <c r="E285" s="69" t="n">
        <f aca="false">IF(D285="ACTIVO",1,IF(D285="PASIVO",2,IF(D285="PERDIDA",3,IF(D285="GANANCIA",4,0))))</f>
        <v>3</v>
      </c>
      <c r="F285" s="54"/>
      <c r="G285" s="54" t="s">
        <v>429</v>
      </c>
      <c r="H285" s="54"/>
    </row>
    <row r="286" customFormat="false" ht="18" hidden="false" customHeight="true" outlineLevel="0" collapsed="false">
      <c r="A286" s="55" t="s">
        <v>526</v>
      </c>
      <c r="B286" s="66" t="n">
        <v>3201403</v>
      </c>
      <c r="C286" s="55" t="s">
        <v>517</v>
      </c>
      <c r="D286" s="55" t="s">
        <v>496</v>
      </c>
      <c r="E286" s="67" t="n">
        <f aca="false">IF(D286="ACTIVO",1,IF(D286="PASIVO",2,IF(D286="PERDIDA",3,IF(D286="GANANCIA",4,0))))</f>
        <v>3</v>
      </c>
      <c r="F286" s="55"/>
      <c r="G286" s="55" t="s">
        <v>429</v>
      </c>
      <c r="H286" s="55"/>
    </row>
    <row r="287" customFormat="false" ht="18" hidden="false" customHeight="true" outlineLevel="0" collapsed="false">
      <c r="A287" s="54" t="s">
        <v>526</v>
      </c>
      <c r="B287" s="68" t="n">
        <v>3201404</v>
      </c>
      <c r="C287" s="54" t="s">
        <v>518</v>
      </c>
      <c r="D287" s="54" t="s">
        <v>496</v>
      </c>
      <c r="E287" s="69" t="n">
        <f aca="false">IF(D287="ACTIVO",1,IF(D287="PASIVO",2,IF(D287="PERDIDA",3,IF(D287="GANANCIA",4,0))))</f>
        <v>3</v>
      </c>
      <c r="F287" s="54"/>
      <c r="G287" s="54" t="s">
        <v>429</v>
      </c>
      <c r="H287" s="54"/>
    </row>
    <row r="288" customFormat="false" ht="18" hidden="false" customHeight="true" outlineLevel="0" collapsed="false">
      <c r="A288" s="55" t="s">
        <v>526</v>
      </c>
      <c r="B288" s="66" t="n">
        <v>3201501</v>
      </c>
      <c r="C288" s="55" t="s">
        <v>519</v>
      </c>
      <c r="D288" s="55" t="s">
        <v>496</v>
      </c>
      <c r="E288" s="67" t="n">
        <f aca="false">IF(D288="ACTIVO",1,IF(D288="PASIVO",2,IF(D288="PERDIDA",3,IF(D288="GANANCIA",4,0))))</f>
        <v>3</v>
      </c>
      <c r="F288" s="55"/>
      <c r="G288" s="55" t="s">
        <v>429</v>
      </c>
      <c r="H288" s="55"/>
    </row>
    <row r="289" customFormat="false" ht="18" hidden="false" customHeight="true" outlineLevel="0" collapsed="false">
      <c r="A289" s="54" t="s">
        <v>526</v>
      </c>
      <c r="B289" s="68" t="n">
        <v>4101001</v>
      </c>
      <c r="C289" s="54" t="s">
        <v>520</v>
      </c>
      <c r="D289" s="54" t="s">
        <v>521</v>
      </c>
      <c r="E289" s="69" t="n">
        <f aca="false">IF(D289="ACTIVO",1,IF(D289="PASIVO",2,IF(D289="PERDIDA",3,IF(D289="GANANCIA",4,0))))</f>
        <v>4</v>
      </c>
      <c r="F289" s="54"/>
      <c r="G289" s="54" t="s">
        <v>429</v>
      </c>
      <c r="H289" s="54"/>
    </row>
    <row r="290" customFormat="false" ht="18" hidden="false" customHeight="true" outlineLevel="0" collapsed="false">
      <c r="A290" s="55" t="s">
        <v>526</v>
      </c>
      <c r="B290" s="66" t="n">
        <v>4101002</v>
      </c>
      <c r="C290" s="55" t="s">
        <v>522</v>
      </c>
      <c r="D290" s="55" t="s">
        <v>521</v>
      </c>
      <c r="E290" s="67" t="n">
        <f aca="false">IF(D290="ACTIVO",1,IF(D290="PASIVO",2,IF(D290="PERDIDA",3,IF(D290="GANANCIA",4,0))))</f>
        <v>4</v>
      </c>
      <c r="F290" s="55"/>
      <c r="G290" s="55" t="s">
        <v>429</v>
      </c>
      <c r="H290" s="55"/>
    </row>
    <row r="291" customFormat="false" ht="18" hidden="false" customHeight="true" outlineLevel="0" collapsed="false">
      <c r="A291" s="54" t="s">
        <v>526</v>
      </c>
      <c r="B291" s="68" t="n">
        <v>4201101</v>
      </c>
      <c r="C291" s="54" t="s">
        <v>523</v>
      </c>
      <c r="D291" s="54" t="s">
        <v>521</v>
      </c>
      <c r="E291" s="69" t="n">
        <f aca="false">IF(D291="ACTIVO",1,IF(D291="PASIVO",2,IF(D291="PERDIDA",3,IF(D291="GANANCIA",4,0))))</f>
        <v>4</v>
      </c>
      <c r="F291" s="54"/>
      <c r="G291" s="54" t="s">
        <v>429</v>
      </c>
      <c r="H291" s="54"/>
    </row>
    <row r="292" customFormat="false" ht="18" hidden="false" customHeight="true" outlineLevel="0" collapsed="false">
      <c r="A292" s="55" t="s">
        <v>526</v>
      </c>
      <c r="B292" s="66" t="n">
        <v>4201102</v>
      </c>
      <c r="C292" s="55" t="s">
        <v>524</v>
      </c>
      <c r="D292" s="55" t="s">
        <v>521</v>
      </c>
      <c r="E292" s="67" t="n">
        <f aca="false">IF(D292="ACTIVO",1,IF(D292="PASIVO",2,IF(D292="PERDIDA",3,IF(D292="GANANCIA",4,0))))</f>
        <v>4</v>
      </c>
      <c r="F292" s="55"/>
      <c r="G292" s="55" t="s">
        <v>429</v>
      </c>
      <c r="H292" s="55"/>
    </row>
    <row r="293" customFormat="false" ht="18" hidden="false" customHeight="true" outlineLevel="0" collapsed="false">
      <c r="A293" s="54"/>
      <c r="B293" s="54"/>
      <c r="C293" s="54"/>
      <c r="D293" s="54"/>
      <c r="E293" s="69" t="n">
        <f aca="false">IF(D293="ACTIVO",1,IF(D293="PASIVO",2,IF(D293="PERDIDA",3,IF(D293="GANANCIA",4,0))))</f>
        <v>0</v>
      </c>
      <c r="F293" s="54"/>
      <c r="G293" s="54"/>
      <c r="H293" s="54"/>
    </row>
    <row r="294" customFormat="false" ht="18" hidden="false" customHeight="true" outlineLevel="0" collapsed="false">
      <c r="A294" s="55"/>
      <c r="B294" s="55"/>
      <c r="C294" s="55"/>
      <c r="D294" s="55"/>
      <c r="E294" s="67" t="n">
        <f aca="false">IF(D294="ACTIVO",1,IF(D294="PASIVO",2,IF(D294="PERDIDA",3,IF(D294="GANANCIA",4,0))))</f>
        <v>0</v>
      </c>
      <c r="F294" s="55"/>
      <c r="G294" s="55"/>
      <c r="H294" s="55"/>
    </row>
    <row r="295" customFormat="false" ht="18" hidden="false" customHeight="true" outlineLevel="0" collapsed="false">
      <c r="A295" s="54"/>
      <c r="B295" s="54"/>
      <c r="C295" s="54"/>
      <c r="D295" s="54"/>
      <c r="E295" s="69" t="n">
        <f aca="false">IF(D295="ACTIVO",1,IF(D295="PASIVO",2,IF(D295="PERDIDA",3,IF(D295="GANANCIA",4,0))))</f>
        <v>0</v>
      </c>
      <c r="F295" s="54"/>
      <c r="G295" s="54"/>
      <c r="H295" s="54"/>
    </row>
    <row r="296" customFormat="false" ht="18" hidden="false" customHeight="true" outlineLevel="0" collapsed="false">
      <c r="A296" s="55"/>
      <c r="B296" s="55"/>
      <c r="C296" s="55"/>
      <c r="D296" s="55"/>
      <c r="E296" s="67" t="n">
        <f aca="false">IF(D296="ACTIVO",1,IF(D296="PASIVO",2,IF(D296="PERDIDA",3,IF(D296="GANANCIA",4,0))))</f>
        <v>0</v>
      </c>
      <c r="F296" s="55"/>
      <c r="G296" s="55"/>
      <c r="H296" s="55"/>
    </row>
    <row r="297" customFormat="false" ht="18" hidden="false" customHeight="true" outlineLevel="0" collapsed="false">
      <c r="A297" s="54"/>
      <c r="B297" s="54"/>
      <c r="C297" s="54"/>
      <c r="D297" s="54"/>
      <c r="E297" s="69" t="n">
        <f aca="false">IF(D297="ACTIVO",1,IF(D297="PASIVO",2,IF(D297="PERDIDA",3,IF(D297="GANANCIA",4,0))))</f>
        <v>0</v>
      </c>
      <c r="F297" s="54"/>
      <c r="G297" s="54"/>
      <c r="H297" s="54"/>
    </row>
    <row r="298" customFormat="false" ht="18" hidden="false" customHeight="true" outlineLevel="0" collapsed="false">
      <c r="A298" s="55"/>
      <c r="B298" s="55"/>
      <c r="C298" s="55"/>
      <c r="D298" s="55"/>
      <c r="E298" s="67" t="n">
        <f aca="false">IF(D298="ACTIVO",1,IF(D298="PASIVO",2,IF(D298="PERDIDA",3,IF(D298="GANANCIA",4,0))))</f>
        <v>0</v>
      </c>
      <c r="F298" s="55"/>
      <c r="G298" s="55"/>
      <c r="H298" s="55"/>
    </row>
    <row r="299" customFormat="false" ht="18" hidden="false" customHeight="true" outlineLevel="0" collapsed="false">
      <c r="A299" s="54"/>
      <c r="B299" s="54"/>
      <c r="C299" s="54"/>
      <c r="D299" s="54"/>
      <c r="E299" s="69" t="n">
        <f aca="false">IF(D299="ACTIVO",1,IF(D299="PASIVO",2,IF(D299="PERDIDA",3,IF(D299="GANANCIA",4,0))))</f>
        <v>0</v>
      </c>
      <c r="F299" s="54"/>
      <c r="G299" s="54"/>
      <c r="H299" s="54"/>
    </row>
    <row r="300" customFormat="false" ht="18" hidden="false" customHeight="true" outlineLevel="0" collapsed="false">
      <c r="A300" s="55"/>
      <c r="B300" s="55"/>
      <c r="C300" s="55"/>
      <c r="D300" s="55"/>
      <c r="E300" s="67" t="n">
        <f aca="false">IF(D300="ACTIVO",1,IF(D300="PASIVO",2,IF(D300="PERDIDA",3,IF(D300="GANANCIA",4,0))))</f>
        <v>0</v>
      </c>
      <c r="F300" s="55"/>
      <c r="G300" s="55"/>
      <c r="H300" s="55"/>
    </row>
    <row r="301" customFormat="false" ht="18" hidden="false" customHeight="true" outlineLevel="0" collapsed="false">
      <c r="A301" s="54"/>
      <c r="B301" s="54"/>
      <c r="C301" s="54"/>
      <c r="D301" s="54"/>
      <c r="E301" s="69" t="n">
        <f aca="false">IF(D301="ACTIVO",1,IF(D301="PASIVO",2,IF(D301="PERDIDA",3,IF(D301="GANANCIA",4,0))))</f>
        <v>0</v>
      </c>
      <c r="F301" s="54"/>
      <c r="G301" s="54"/>
      <c r="H301" s="54"/>
    </row>
    <row r="302" customFormat="false" ht="18" hidden="false" customHeight="true" outlineLevel="0" collapsed="false">
      <c r="A302" s="55"/>
      <c r="B302" s="55"/>
      <c r="C302" s="55"/>
      <c r="D302" s="55"/>
      <c r="E302" s="67" t="n">
        <f aca="false">IF(D302="ACTIVO",1,IF(D302="PASIVO",2,IF(D302="PERDIDA",3,IF(D302="GANANCIA",4,0))))</f>
        <v>0</v>
      </c>
      <c r="F302" s="55"/>
      <c r="G302" s="55"/>
      <c r="H302" s="55"/>
    </row>
    <row r="303" customFormat="false" ht="18" hidden="false" customHeight="true" outlineLevel="0" collapsed="false">
      <c r="A303" s="54"/>
      <c r="B303" s="54"/>
      <c r="C303" s="54"/>
      <c r="D303" s="54"/>
      <c r="E303" s="69" t="n">
        <f aca="false">IF(D303="ACTIVO",1,IF(D303="PASIVO",2,IF(D303="PERDIDA",3,IF(D303="GANANCIA",4,0))))</f>
        <v>0</v>
      </c>
      <c r="F303" s="54"/>
      <c r="G303" s="54"/>
      <c r="H303" s="54"/>
    </row>
    <row r="304" customFormat="false" ht="18" hidden="false" customHeight="true" outlineLevel="0" collapsed="false">
      <c r="A304" s="55"/>
      <c r="B304" s="55"/>
      <c r="C304" s="55"/>
      <c r="D304" s="55"/>
      <c r="E304" s="67" t="n">
        <f aca="false">IF(D304="ACTIVO",1,IF(D304="PASIVO",2,IF(D304="PERDIDA",3,IF(D304="GANANCIA",4,0))))</f>
        <v>0</v>
      </c>
      <c r="F304" s="55"/>
      <c r="G304" s="55"/>
      <c r="H304" s="55"/>
    </row>
    <row r="305" customFormat="false" ht="18" hidden="false" customHeight="true" outlineLevel="0" collapsed="false">
      <c r="A305" s="54"/>
      <c r="B305" s="54"/>
      <c r="C305" s="54"/>
      <c r="D305" s="54"/>
      <c r="E305" s="69" t="n">
        <f aca="false">IF(D305="ACTIVO",1,IF(D305="PASIVO",2,IF(D305="PERDIDA",3,IF(D305="GANANCIA",4,0))))</f>
        <v>0</v>
      </c>
      <c r="F305" s="54"/>
      <c r="G305" s="54"/>
      <c r="H305" s="54"/>
    </row>
    <row r="306" customFormat="false" ht="18" hidden="false" customHeight="true" outlineLevel="0" collapsed="false">
      <c r="A306" s="55"/>
      <c r="B306" s="55"/>
      <c r="C306" s="55"/>
      <c r="D306" s="55"/>
      <c r="E306" s="67" t="n">
        <f aca="false">IF(D306="ACTIVO",1,IF(D306="PASIVO",2,IF(D306="PERDIDA",3,IF(D306="GANANCIA",4,0))))</f>
        <v>0</v>
      </c>
      <c r="F306" s="55"/>
      <c r="G306" s="55"/>
      <c r="H306" s="55"/>
    </row>
    <row r="307" customFormat="false" ht="18" hidden="false" customHeight="true" outlineLevel="0" collapsed="false">
      <c r="A307" s="54"/>
      <c r="B307" s="54"/>
      <c r="C307" s="54"/>
      <c r="D307" s="54"/>
      <c r="E307" s="69" t="n">
        <f aca="false">IF(D307="ACTIVO",1,IF(D307="PASIVO",2,IF(D307="PERDIDA",3,IF(D307="GANANCIA",4,0))))</f>
        <v>0</v>
      </c>
      <c r="F307" s="54"/>
      <c r="G307" s="54"/>
      <c r="H307" s="54"/>
    </row>
    <row r="308" customFormat="false" ht="18" hidden="false" customHeight="true" outlineLevel="0" collapsed="false">
      <c r="A308" s="55"/>
      <c r="B308" s="55"/>
      <c r="C308" s="55"/>
      <c r="D308" s="55"/>
      <c r="E308" s="67" t="n">
        <f aca="false">IF(D308="ACTIVO",1,IF(D308="PASIVO",2,IF(D308="PERDIDA",3,IF(D308="GANANCIA",4,0))))</f>
        <v>0</v>
      </c>
      <c r="F308" s="55"/>
      <c r="G308" s="55"/>
      <c r="H308" s="55"/>
    </row>
    <row r="309" customFormat="false" ht="18" hidden="false" customHeight="true" outlineLevel="0" collapsed="false">
      <c r="A309" s="54"/>
      <c r="B309" s="54"/>
      <c r="C309" s="54"/>
      <c r="D309" s="54"/>
      <c r="E309" s="69" t="n">
        <f aca="false">IF(D309="ACTIVO",1,IF(D309="PASIVO",2,IF(D309="PERDIDA",3,IF(D309="GANANCIA",4,0))))</f>
        <v>0</v>
      </c>
      <c r="F309" s="54"/>
      <c r="G309" s="54"/>
      <c r="H309" s="54"/>
    </row>
    <row r="310" customFormat="false" ht="18" hidden="false" customHeight="true" outlineLevel="0" collapsed="false">
      <c r="A310" s="55"/>
      <c r="B310" s="55"/>
      <c r="C310" s="55"/>
      <c r="D310" s="55"/>
      <c r="E310" s="67" t="n">
        <f aca="false">IF(D310="ACTIVO",1,IF(D310="PASIVO",2,IF(D310="PERDIDA",3,IF(D310="GANANCIA",4,0))))</f>
        <v>0</v>
      </c>
      <c r="F310" s="55"/>
      <c r="G310" s="55"/>
      <c r="H310" s="55"/>
    </row>
    <row r="311" customFormat="false" ht="18" hidden="false" customHeight="true" outlineLevel="0" collapsed="false">
      <c r="A311" s="54"/>
      <c r="B311" s="54"/>
      <c r="C311" s="54"/>
      <c r="D311" s="54"/>
      <c r="E311" s="69" t="n">
        <f aca="false">IF(D311="ACTIVO",1,IF(D311="PASIVO",2,IF(D311="PERDIDA",3,IF(D311="GANANCIA",4,0))))</f>
        <v>0</v>
      </c>
      <c r="F311" s="54"/>
      <c r="G311" s="54"/>
      <c r="H311" s="54"/>
    </row>
    <row r="312" customFormat="false" ht="18" hidden="false" customHeight="true" outlineLevel="0" collapsed="false">
      <c r="A312" s="55"/>
      <c r="B312" s="55"/>
      <c r="C312" s="55"/>
      <c r="D312" s="55"/>
      <c r="E312" s="67" t="n">
        <f aca="false">IF(D312="ACTIVO",1,IF(D312="PASIVO",2,IF(D312="PERDIDA",3,IF(D312="GANANCIA",4,0))))</f>
        <v>0</v>
      </c>
      <c r="F312" s="55"/>
      <c r="G312" s="55"/>
      <c r="H312" s="55"/>
    </row>
    <row r="313" customFormat="false" ht="18" hidden="false" customHeight="true" outlineLevel="0" collapsed="false">
      <c r="A313" s="54"/>
      <c r="B313" s="54"/>
      <c r="C313" s="54"/>
      <c r="D313" s="54"/>
      <c r="E313" s="69" t="n">
        <f aca="false">IF(D313="ACTIVO",1,IF(D313="PASIVO",2,IF(D313="PERDIDA",3,IF(D313="GANANCIA",4,0))))</f>
        <v>0</v>
      </c>
      <c r="F313" s="54"/>
      <c r="G313" s="54"/>
      <c r="H313" s="54"/>
    </row>
    <row r="314" customFormat="false" ht="18" hidden="false" customHeight="true" outlineLevel="0" collapsed="false">
      <c r="A314" s="55"/>
      <c r="B314" s="55"/>
      <c r="C314" s="55"/>
      <c r="D314" s="55"/>
      <c r="E314" s="67" t="n">
        <f aca="false">IF(D314="ACTIVO",1,IF(D314="PASIVO",2,IF(D314="PERDIDA",3,IF(D314="GANANCIA",4,0))))</f>
        <v>0</v>
      </c>
      <c r="F314" s="55"/>
      <c r="G314" s="55"/>
      <c r="H314" s="55"/>
    </row>
    <row r="315" customFormat="false" ht="18" hidden="false" customHeight="true" outlineLevel="0" collapsed="false">
      <c r="A315" s="54"/>
      <c r="B315" s="54"/>
      <c r="C315" s="54"/>
      <c r="D315" s="54"/>
      <c r="E315" s="69" t="n">
        <f aca="false">IF(D315="ACTIVO",1,IF(D315="PASIVO",2,IF(D315="PERDIDA",3,IF(D315="GANANCIA",4,0))))</f>
        <v>0</v>
      </c>
      <c r="F315" s="54"/>
      <c r="G315" s="54"/>
      <c r="H315" s="54"/>
    </row>
    <row r="316" customFormat="false" ht="18" hidden="false" customHeight="true" outlineLevel="0" collapsed="false">
      <c r="A316" s="55"/>
      <c r="B316" s="55"/>
      <c r="C316" s="55"/>
      <c r="D316" s="55"/>
      <c r="E316" s="67" t="n">
        <f aca="false">IF(D316="ACTIVO",1,IF(D316="PASIVO",2,IF(D316="PERDIDA",3,IF(D316="GANANCIA",4,0))))</f>
        <v>0</v>
      </c>
      <c r="F316" s="55"/>
      <c r="G316" s="55"/>
      <c r="H316" s="55"/>
    </row>
    <row r="317" customFormat="false" ht="18" hidden="false" customHeight="true" outlineLevel="0" collapsed="false">
      <c r="A317" s="54"/>
      <c r="B317" s="54"/>
      <c r="C317" s="54"/>
      <c r="D317" s="54"/>
      <c r="E317" s="69" t="n">
        <f aca="false">IF(D317="ACTIVO",1,IF(D317="PASIVO",2,IF(D317="PERDIDA",3,IF(D317="GANANCIA",4,0))))</f>
        <v>0</v>
      </c>
      <c r="F317" s="54"/>
      <c r="G317" s="54"/>
      <c r="H317" s="54"/>
    </row>
    <row r="318" customFormat="false" ht="18" hidden="false" customHeight="true" outlineLevel="0" collapsed="false">
      <c r="A318" s="55"/>
      <c r="B318" s="55"/>
      <c r="C318" s="55"/>
      <c r="D318" s="55"/>
      <c r="E318" s="67" t="n">
        <f aca="false">IF(D318="ACTIVO",1,IF(D318="PASIVO",2,IF(D318="PERDIDA",3,IF(D318="GANANCIA",4,0))))</f>
        <v>0</v>
      </c>
      <c r="F318" s="55"/>
      <c r="G318" s="55"/>
      <c r="H318" s="55"/>
    </row>
    <row r="319" customFormat="false" ht="18" hidden="false" customHeight="true" outlineLevel="0" collapsed="false">
      <c r="A319" s="54"/>
      <c r="B319" s="54"/>
      <c r="C319" s="54"/>
      <c r="D319" s="54"/>
      <c r="E319" s="69" t="n">
        <f aca="false">IF(D319="ACTIVO",1,IF(D319="PASIVO",2,IF(D319="PERDIDA",3,IF(D319="GANANCIA",4,0))))</f>
        <v>0</v>
      </c>
      <c r="F319" s="54"/>
      <c r="G319" s="54"/>
      <c r="H319" s="54"/>
    </row>
    <row r="320" customFormat="false" ht="18" hidden="false" customHeight="true" outlineLevel="0" collapsed="false">
      <c r="A320" s="55"/>
      <c r="B320" s="55"/>
      <c r="C320" s="55"/>
      <c r="D320" s="55"/>
      <c r="E320" s="67" t="n">
        <f aca="false">IF(D320="ACTIVO",1,IF(D320="PASIVO",2,IF(D320="PERDIDA",3,IF(D320="GANANCIA",4,0))))</f>
        <v>0</v>
      </c>
      <c r="F320" s="55"/>
      <c r="G320" s="55"/>
      <c r="H320" s="55"/>
    </row>
    <row r="321" customFormat="false" ht="18" hidden="false" customHeight="true" outlineLevel="0" collapsed="false">
      <c r="A321" s="54"/>
      <c r="B321" s="54"/>
      <c r="C321" s="54"/>
      <c r="D321" s="54"/>
      <c r="E321" s="69" t="n">
        <f aca="false">IF(D321="ACTIVO",1,IF(D321="PASIVO",2,IF(D321="PERDIDA",3,IF(D321="GANANCIA",4,0))))</f>
        <v>0</v>
      </c>
      <c r="F321" s="54"/>
      <c r="G321" s="54"/>
      <c r="H321" s="54"/>
    </row>
    <row r="322" customFormat="false" ht="18" hidden="false" customHeight="true" outlineLevel="0" collapsed="false">
      <c r="A322" s="55"/>
      <c r="B322" s="55"/>
      <c r="C322" s="55"/>
      <c r="D322" s="55"/>
      <c r="E322" s="67" t="n">
        <f aca="false">IF(D322="ACTIVO",1,IF(D322="PASIVO",2,IF(D322="PERDIDA",3,IF(D322="GANANCIA",4,0))))</f>
        <v>0</v>
      </c>
      <c r="F322" s="55"/>
      <c r="G322" s="55"/>
      <c r="H322" s="55"/>
    </row>
    <row r="323" customFormat="false" ht="18" hidden="false" customHeight="true" outlineLevel="0" collapsed="false">
      <c r="A323" s="54"/>
      <c r="B323" s="54"/>
      <c r="C323" s="54"/>
      <c r="D323" s="54"/>
      <c r="E323" s="69" t="n">
        <f aca="false">IF(D323="ACTIVO",1,IF(D323="PASIVO",2,IF(D323="PERDIDA",3,IF(D323="GANANCIA",4,0))))</f>
        <v>0</v>
      </c>
      <c r="F323" s="54"/>
      <c r="G323" s="54"/>
      <c r="H323" s="54"/>
    </row>
    <row r="324" customFormat="false" ht="18" hidden="false" customHeight="true" outlineLevel="0" collapsed="false">
      <c r="A324" s="55"/>
      <c r="B324" s="55"/>
      <c r="C324" s="55"/>
      <c r="D324" s="55"/>
      <c r="E324" s="67" t="n">
        <f aca="false">IF(D324="ACTIVO",1,IF(D324="PASIVO",2,IF(D324="PERDIDA",3,IF(D324="GANANCIA",4,0))))</f>
        <v>0</v>
      </c>
      <c r="F324" s="55"/>
      <c r="G324" s="55"/>
      <c r="H324" s="55"/>
    </row>
    <row r="325" customFormat="false" ht="18" hidden="false" customHeight="true" outlineLevel="0" collapsed="false">
      <c r="A325" s="54"/>
      <c r="B325" s="54"/>
      <c r="C325" s="54"/>
      <c r="D325" s="54"/>
      <c r="E325" s="69" t="n">
        <f aca="false">IF(D325="ACTIVO",1,IF(D325="PASIVO",2,IF(D325="PERDIDA",3,IF(D325="GANANCIA",4,0))))</f>
        <v>0</v>
      </c>
      <c r="F325" s="54"/>
      <c r="G325" s="54"/>
      <c r="H325" s="54"/>
    </row>
    <row r="326" customFormat="false" ht="18" hidden="false" customHeight="true" outlineLevel="0" collapsed="false">
      <c r="A326" s="55"/>
      <c r="B326" s="55"/>
      <c r="C326" s="55"/>
      <c r="D326" s="55"/>
      <c r="E326" s="67" t="n">
        <f aca="false">IF(D326="ACTIVO",1,IF(D326="PASIVO",2,IF(D326="PERDIDA",3,IF(D326="GANANCIA",4,0))))</f>
        <v>0</v>
      </c>
      <c r="F326" s="55"/>
      <c r="G326" s="55"/>
      <c r="H326" s="55"/>
    </row>
    <row r="327" customFormat="false" ht="18" hidden="false" customHeight="true" outlineLevel="0" collapsed="false">
      <c r="A327" s="54"/>
      <c r="B327" s="54"/>
      <c r="C327" s="54"/>
      <c r="D327" s="54"/>
      <c r="E327" s="69" t="n">
        <f aca="false">IF(D327="ACTIVO",1,IF(D327="PASIVO",2,IF(D327="PERDIDA",3,IF(D327="GANANCIA",4,0))))</f>
        <v>0</v>
      </c>
      <c r="F327" s="54"/>
      <c r="G327" s="54"/>
      <c r="H327" s="54"/>
    </row>
    <row r="328" customFormat="false" ht="18" hidden="false" customHeight="true" outlineLevel="0" collapsed="false">
      <c r="A328" s="55"/>
      <c r="B328" s="55"/>
      <c r="C328" s="55"/>
      <c r="D328" s="55"/>
      <c r="E328" s="67" t="n">
        <f aca="false">IF(D328="ACTIVO",1,IF(D328="PASIVO",2,IF(D328="PERDIDA",3,IF(D328="GANANCIA",4,0))))</f>
        <v>0</v>
      </c>
      <c r="F328" s="55"/>
      <c r="G328" s="55"/>
      <c r="H328" s="55"/>
    </row>
    <row r="329" customFormat="false" ht="18" hidden="false" customHeight="true" outlineLevel="0" collapsed="false">
      <c r="A329" s="54"/>
      <c r="B329" s="54"/>
      <c r="C329" s="54"/>
      <c r="D329" s="54"/>
      <c r="E329" s="69" t="n">
        <f aca="false">IF(D329="ACTIVO",1,IF(D329="PASIVO",2,IF(D329="PERDIDA",3,IF(D329="GANANCIA",4,0))))</f>
        <v>0</v>
      </c>
      <c r="F329" s="54"/>
      <c r="G329" s="54"/>
      <c r="H329" s="54"/>
    </row>
    <row r="330" customFormat="false" ht="18" hidden="false" customHeight="true" outlineLevel="0" collapsed="false">
      <c r="A330" s="55"/>
      <c r="B330" s="55"/>
      <c r="C330" s="55"/>
      <c r="D330" s="55"/>
      <c r="E330" s="67" t="n">
        <f aca="false">IF(D330="ACTIVO",1,IF(D330="PASIVO",2,IF(D330="PERDIDA",3,IF(D330="GANANCIA",4,0))))</f>
        <v>0</v>
      </c>
      <c r="F330" s="55"/>
      <c r="G330" s="55"/>
      <c r="H330" s="55"/>
    </row>
    <row r="331" customFormat="false" ht="18" hidden="false" customHeight="true" outlineLevel="0" collapsed="false">
      <c r="A331" s="54"/>
      <c r="B331" s="54"/>
      <c r="C331" s="54"/>
      <c r="D331" s="54"/>
      <c r="E331" s="69" t="n">
        <f aca="false">IF(D331="ACTIVO",1,IF(D331="PASIVO",2,IF(D331="PERDIDA",3,IF(D331="GANANCIA",4,0))))</f>
        <v>0</v>
      </c>
      <c r="F331" s="54"/>
      <c r="G331" s="54"/>
      <c r="H331" s="54"/>
    </row>
    <row r="332" customFormat="false" ht="18" hidden="false" customHeight="true" outlineLevel="0" collapsed="false">
      <c r="A332" s="55"/>
      <c r="B332" s="55"/>
      <c r="C332" s="55"/>
      <c r="D332" s="55"/>
      <c r="E332" s="67" t="n">
        <f aca="false">IF(D332="ACTIVO",1,IF(D332="PASIVO",2,IF(D332="PERDIDA",3,IF(D332="GANANCIA",4,0))))</f>
        <v>0</v>
      </c>
      <c r="F332" s="55"/>
      <c r="G332" s="55"/>
      <c r="H332" s="55"/>
    </row>
    <row r="333" customFormat="false" ht="18" hidden="false" customHeight="true" outlineLevel="0" collapsed="false">
      <c r="A333" s="54"/>
      <c r="B333" s="54"/>
      <c r="C333" s="54"/>
      <c r="D333" s="54"/>
      <c r="E333" s="69" t="n">
        <f aca="false">IF(D333="ACTIVO",1,IF(D333="PASIVO",2,IF(D333="PERDIDA",3,IF(D333="GANANCIA",4,0))))</f>
        <v>0</v>
      </c>
      <c r="F333" s="54"/>
      <c r="G333" s="54"/>
      <c r="H333" s="54"/>
    </row>
    <row r="334" customFormat="false" ht="18" hidden="false" customHeight="true" outlineLevel="0" collapsed="false">
      <c r="A334" s="55"/>
      <c r="B334" s="55"/>
      <c r="C334" s="55"/>
      <c r="D334" s="55"/>
      <c r="E334" s="67" t="n">
        <f aca="false">IF(D334="ACTIVO",1,IF(D334="PASIVO",2,IF(D334="PERDIDA",3,IF(D334="GANANCIA",4,0))))</f>
        <v>0</v>
      </c>
      <c r="F334" s="55"/>
      <c r="G334" s="55"/>
      <c r="H334" s="55"/>
    </row>
    <row r="335" customFormat="false" ht="18" hidden="false" customHeight="true" outlineLevel="0" collapsed="false">
      <c r="A335" s="54"/>
      <c r="B335" s="54"/>
      <c r="C335" s="54"/>
      <c r="D335" s="54"/>
      <c r="E335" s="69" t="n">
        <f aca="false">IF(D335="ACTIVO",1,IF(D335="PASIVO",2,IF(D335="PERDIDA",3,IF(D335="GANANCIA",4,0))))</f>
        <v>0</v>
      </c>
      <c r="F335" s="54"/>
      <c r="G335" s="54"/>
      <c r="H335" s="54"/>
    </row>
    <row r="336" customFormat="false" ht="18" hidden="false" customHeight="true" outlineLevel="0" collapsed="false">
      <c r="A336" s="55"/>
      <c r="B336" s="55"/>
      <c r="C336" s="55"/>
      <c r="D336" s="55"/>
      <c r="E336" s="67" t="n">
        <f aca="false">IF(D336="ACTIVO",1,IF(D336="PASIVO",2,IF(D336="PERDIDA",3,IF(D336="GANANCIA",4,0))))</f>
        <v>0</v>
      </c>
      <c r="F336" s="55"/>
      <c r="G336" s="55"/>
      <c r="H336" s="55"/>
    </row>
    <row r="337" customFormat="false" ht="18" hidden="false" customHeight="true" outlineLevel="0" collapsed="false">
      <c r="A337" s="54"/>
      <c r="B337" s="54"/>
      <c r="C337" s="54"/>
      <c r="D337" s="54"/>
      <c r="E337" s="69" t="n">
        <f aca="false">IF(D337="ACTIVO",1,IF(D337="PASIVO",2,IF(D337="PERDIDA",3,IF(D337="GANANCIA",4,0))))</f>
        <v>0</v>
      </c>
      <c r="F337" s="54"/>
      <c r="G337" s="54"/>
      <c r="H337" s="54"/>
    </row>
    <row r="338" customFormat="false" ht="18" hidden="false" customHeight="true" outlineLevel="0" collapsed="false">
      <c r="A338" s="55"/>
      <c r="B338" s="55"/>
      <c r="C338" s="55"/>
      <c r="D338" s="55"/>
      <c r="E338" s="67" t="n">
        <f aca="false">IF(D338="ACTIVO",1,IF(D338="PASIVO",2,IF(D338="PERDIDA",3,IF(D338="GANANCIA",4,0))))</f>
        <v>0</v>
      </c>
      <c r="F338" s="55"/>
      <c r="G338" s="55"/>
      <c r="H338" s="55"/>
    </row>
    <row r="339" customFormat="false" ht="18" hidden="false" customHeight="true" outlineLevel="0" collapsed="false">
      <c r="A339" s="54"/>
      <c r="B339" s="54"/>
      <c r="C339" s="54"/>
      <c r="D339" s="54"/>
      <c r="E339" s="69" t="n">
        <f aca="false">IF(D339="ACTIVO",1,IF(D339="PASIVO",2,IF(D339="PERDIDA",3,IF(D339="GANANCIA",4,0))))</f>
        <v>0</v>
      </c>
      <c r="F339" s="54"/>
      <c r="G339" s="54"/>
      <c r="H339" s="54"/>
    </row>
    <row r="340" customFormat="false" ht="18" hidden="false" customHeight="true" outlineLevel="0" collapsed="false">
      <c r="A340" s="55"/>
      <c r="B340" s="55"/>
      <c r="C340" s="55"/>
      <c r="D340" s="55"/>
      <c r="E340" s="67" t="n">
        <f aca="false">IF(D340="ACTIVO",1,IF(D340="PASIVO",2,IF(D340="PERDIDA",3,IF(D340="GANANCIA",4,0))))</f>
        <v>0</v>
      </c>
      <c r="F340" s="55"/>
      <c r="G340" s="55"/>
      <c r="H340" s="55"/>
    </row>
    <row r="341" customFormat="false" ht="18" hidden="false" customHeight="true" outlineLevel="0" collapsed="false">
      <c r="A341" s="54"/>
      <c r="B341" s="54"/>
      <c r="C341" s="54"/>
      <c r="D341" s="54"/>
      <c r="E341" s="69" t="n">
        <f aca="false">IF(D341="ACTIVO",1,IF(D341="PASIVO",2,IF(D341="PERDIDA",3,IF(D341="GANANCIA",4,0))))</f>
        <v>0</v>
      </c>
      <c r="F341" s="54"/>
      <c r="G341" s="54"/>
      <c r="H341" s="54"/>
    </row>
    <row r="342" customFormat="false" ht="18" hidden="false" customHeight="true" outlineLevel="0" collapsed="false">
      <c r="A342" s="55"/>
      <c r="B342" s="55"/>
      <c r="C342" s="55"/>
      <c r="D342" s="55"/>
      <c r="E342" s="67" t="n">
        <f aca="false">IF(D342="ACTIVO",1,IF(D342="PASIVO",2,IF(D342="PERDIDA",3,IF(D342="GANANCIA",4,0))))</f>
        <v>0</v>
      </c>
      <c r="F342" s="55"/>
      <c r="G342" s="55"/>
      <c r="H342" s="55"/>
    </row>
  </sheetData>
  <mergeCells count="4">
    <mergeCell ref="A1:H1"/>
    <mergeCell ref="A2:H2"/>
    <mergeCell ref="A3:H3"/>
    <mergeCell ref="A5:H5"/>
  </mergeCells>
  <dataValidations count="286">
    <dataValidation allowBlank="true" errorStyle="stop" operator="between" showDropDown="false" showErrorMessage="false" showInputMessage="false" sqref="H4" type="list">
      <formula1>"ACTIVO,PASIVO,PERDIDA,GANANCIA"</formula1>
      <formula2>0</formula2>
    </dataValidation>
    <dataValidation allowBlank="true" errorStyle="stop" operator="between" showDropDown="false" showErrorMessage="false" showInputMessage="false" sqref="D8" type="list">
      <formula1>"ACTIVO,PASIVO,PERDIDA,GANANCIA"</formula1>
      <formula2>0</formula2>
    </dataValidation>
    <dataValidation allowBlank="true" errorStyle="stop" operator="between" showDropDown="false" showErrorMessage="false" showInputMessage="false" sqref="D9" type="list">
      <formula1>"ACTIVO,PASIVO,PERDIDA,GANANCIA"</formula1>
      <formula2>0</formula2>
    </dataValidation>
    <dataValidation allowBlank="true" errorStyle="stop" operator="between" showDropDown="false" showErrorMessage="false" showInputMessage="false" sqref="D10" type="list">
      <formula1>"ACTIVO,PASIVO,PERDIDA,GANANCIA"</formula1>
      <formula2>0</formula2>
    </dataValidation>
    <dataValidation allowBlank="true" errorStyle="stop" operator="between" showDropDown="false" showErrorMessage="false" showInputMessage="false" sqref="D11" type="list">
      <formula1>"ACTIVO,PASIVO,PERDIDA,GANANCIA"</formula1>
      <formula2>0</formula2>
    </dataValidation>
    <dataValidation allowBlank="true" errorStyle="stop" operator="between" showDropDown="false" showErrorMessage="false" showInputMessage="false" sqref="D12" type="list">
      <formula1>"ACTIVO,PASIVO,PERDIDA,GANANCIA"</formula1>
      <formula2>0</formula2>
    </dataValidation>
    <dataValidation allowBlank="true" errorStyle="stop" operator="between" showDropDown="false" showErrorMessage="false" showInputMessage="false" sqref="D13" type="list">
      <formula1>"ACTIVO,PASIVO,PERDIDA,GANANCIA"</formula1>
      <formula2>0</formula2>
    </dataValidation>
    <dataValidation allowBlank="true" errorStyle="stop" operator="between" showDropDown="false" showErrorMessage="false" showInputMessage="false" sqref="D14" type="list">
      <formula1>"ACTIVO,PASIVO,PERDIDA,GANANCIA"</formula1>
      <formula2>0</formula2>
    </dataValidation>
    <dataValidation allowBlank="true" errorStyle="stop" operator="between" showDropDown="false" showErrorMessage="false" showInputMessage="false" sqref="D15" type="list">
      <formula1>"ACTIVO,PASIVO,PERDIDA,GANANCIA"</formula1>
      <formula2>0</formula2>
    </dataValidation>
    <dataValidation allowBlank="true" errorStyle="stop" operator="between" showDropDown="false" showErrorMessage="false" showInputMessage="false" sqref="D16" type="list">
      <formula1>"ACTIVO,PASIVO,PERDIDA,GANANCIA"</formula1>
      <formula2>0</formula2>
    </dataValidation>
    <dataValidation allowBlank="true" errorStyle="stop" operator="between" showDropDown="false" showErrorMessage="false" showInputMessage="false" sqref="D17" type="list">
      <formula1>"ACTIVO,PASIVO,PERDIDA,GANANCIA"</formula1>
      <formula2>0</formula2>
    </dataValidation>
    <dataValidation allowBlank="true" errorStyle="stop" operator="between" showDropDown="false" showErrorMessage="false" showInputMessage="false" sqref="D18" type="list">
      <formula1>"ACTIVO,PASIVO,PERDIDA,GANANCIA"</formula1>
      <formula2>0</formula2>
    </dataValidation>
    <dataValidation allowBlank="true" errorStyle="stop" operator="between" showDropDown="false" showErrorMessage="false" showInputMessage="false" sqref="D19" type="list">
      <formula1>"ACTIVO,PASIVO,PERDIDA,GANANCIA"</formula1>
      <formula2>0</formula2>
    </dataValidation>
    <dataValidation allowBlank="true" errorStyle="stop" operator="between" showDropDown="false" showErrorMessage="false" showInputMessage="false" sqref="D20" type="list">
      <formula1>"ACTIVO,PASIVO,PERDIDA,GANANCIA"</formula1>
      <formula2>0</formula2>
    </dataValidation>
    <dataValidation allowBlank="true" errorStyle="stop" operator="between" showDropDown="false" showErrorMessage="false" showInputMessage="false" sqref="D21" type="list">
      <formula1>"ACTIVO,PASIVO,PERDIDA,GANANCIA"</formula1>
      <formula2>0</formula2>
    </dataValidation>
    <dataValidation allowBlank="true" errorStyle="stop" operator="between" showDropDown="false" showErrorMessage="false" showInputMessage="false" sqref="D22" type="list">
      <formula1>"ACTIVO,PASIVO,PERDIDA,GANANCIA"</formula1>
      <formula2>0</formula2>
    </dataValidation>
    <dataValidation allowBlank="true" errorStyle="stop" operator="between" showDropDown="false" showErrorMessage="false" showInputMessage="false" sqref="D23" type="list">
      <formula1>"ACTIVO,PASIVO,PERDIDA,GANANCIA"</formula1>
      <formula2>0</formula2>
    </dataValidation>
    <dataValidation allowBlank="true" errorStyle="stop" operator="between" showDropDown="false" showErrorMessage="false" showInputMessage="false" sqref="D24" type="list">
      <formula1>"ACTIVO,PASIVO,PERDIDA,GANANCIA"</formula1>
      <formula2>0</formula2>
    </dataValidation>
    <dataValidation allowBlank="true" errorStyle="stop" operator="between" showDropDown="false" showErrorMessage="false" showInputMessage="false" sqref="D25" type="list">
      <formula1>"ACTIVO,PASIVO,PERDIDA,GANANCIA"</formula1>
      <formula2>0</formula2>
    </dataValidation>
    <dataValidation allowBlank="true" errorStyle="stop" operator="between" showDropDown="false" showErrorMessage="false" showInputMessage="false" sqref="D26" type="list">
      <formula1>"ACTIVO,PASIVO,PERDIDA,GANANCIA"</formula1>
      <formula2>0</formula2>
    </dataValidation>
    <dataValidation allowBlank="true" errorStyle="stop" operator="between" showDropDown="false" showErrorMessage="false" showInputMessage="false" sqref="D27" type="list">
      <formula1>"ACTIVO,PASIVO,PERDIDA,GANANCIA"</formula1>
      <formula2>0</formula2>
    </dataValidation>
    <dataValidation allowBlank="true" errorStyle="stop" operator="between" showDropDown="false" showErrorMessage="false" showInputMessage="false" sqref="D28" type="list">
      <formula1>"ACTIVO,PASIVO,PERDIDA,GANANCIA"</formula1>
      <formula2>0</formula2>
    </dataValidation>
    <dataValidation allowBlank="true" errorStyle="stop" operator="between" showDropDown="false" showErrorMessage="false" showInputMessage="false" sqref="D29" type="list">
      <formula1>"ACTIVO,PASIVO,PERDIDA,GANANCIA"</formula1>
      <formula2>0</formula2>
    </dataValidation>
    <dataValidation allowBlank="true" errorStyle="stop" operator="between" showDropDown="false" showErrorMessage="false" showInputMessage="false" sqref="D30" type="list">
      <formula1>"ACTIVO,PASIVO,PERDIDA,GANANCIA"</formula1>
      <formula2>0</formula2>
    </dataValidation>
    <dataValidation allowBlank="true" errorStyle="stop" operator="between" showDropDown="false" showErrorMessage="false" showInputMessage="false" sqref="D31" type="list">
      <formula1>"ACTIVO,PASIVO,PERDIDA,GANANCIA"</formula1>
      <formula2>0</formula2>
    </dataValidation>
    <dataValidation allowBlank="true" errorStyle="stop" operator="between" showDropDown="false" showErrorMessage="false" showInputMessage="false" sqref="D32" type="list">
      <formula1>"ACTIVO,PASIVO,PERDIDA,GANANCIA"</formula1>
      <formula2>0</formula2>
    </dataValidation>
    <dataValidation allowBlank="true" errorStyle="stop" operator="between" showDropDown="false" showErrorMessage="false" showInputMessage="false" sqref="D33" type="list">
      <formula1>"ACTIVO,PASIVO,PERDIDA,GANANCIA"</formula1>
      <formula2>0</formula2>
    </dataValidation>
    <dataValidation allowBlank="true" errorStyle="stop" operator="between" showDropDown="false" showErrorMessage="false" showInputMessage="false" sqref="D34" type="list">
      <formula1>"ACTIVO,PASIVO,PERDIDA,GANANCIA"</formula1>
      <formula2>0</formula2>
    </dataValidation>
    <dataValidation allowBlank="true" errorStyle="stop" operator="between" showDropDown="false" showErrorMessage="false" showInputMessage="false" sqref="D35" type="list">
      <formula1>"ACTIVO,PASIVO,PERDIDA,GANANCIA"</formula1>
      <formula2>0</formula2>
    </dataValidation>
    <dataValidation allowBlank="true" errorStyle="stop" operator="between" showDropDown="false" showErrorMessage="false" showInputMessage="false" sqref="D36" type="list">
      <formula1>"ACTIVO,PASIVO,PERDIDA,GANANCIA"</formula1>
      <formula2>0</formula2>
    </dataValidation>
    <dataValidation allowBlank="true" errorStyle="stop" operator="between" showDropDown="false" showErrorMessage="false" showInputMessage="false" sqref="D37" type="list">
      <formula1>"ACTIVO,PASIVO,PERDIDA,GANANCIA"</formula1>
      <formula2>0</formula2>
    </dataValidation>
    <dataValidation allowBlank="true" errorStyle="stop" operator="between" showDropDown="false" showErrorMessage="false" showInputMessage="false" sqref="D38" type="list">
      <formula1>"ACTIVO,PASIVO,PERDIDA,GANANCIA"</formula1>
      <formula2>0</formula2>
    </dataValidation>
    <dataValidation allowBlank="true" errorStyle="stop" operator="between" showDropDown="false" showErrorMessage="false" showInputMessage="false" sqref="D39" type="list">
      <formula1>"ACTIVO,PASIVO,PERDIDA,GANANCIA"</formula1>
      <formula2>0</formula2>
    </dataValidation>
    <dataValidation allowBlank="true" errorStyle="stop" operator="between" showDropDown="false" showErrorMessage="false" showInputMessage="false" sqref="D40" type="list">
      <formula1>"ACTIVO,PASIVO,PERDIDA,GANANCIA"</formula1>
      <formula2>0</formula2>
    </dataValidation>
    <dataValidation allowBlank="true" errorStyle="stop" operator="between" showDropDown="false" showErrorMessage="false" showInputMessage="false" sqref="D41" type="list">
      <formula1>"ACTIVO,PASIVO,PERDIDA,GANANCIA"</formula1>
      <formula2>0</formula2>
    </dataValidation>
    <dataValidation allowBlank="true" errorStyle="stop" operator="between" showDropDown="false" showErrorMessage="false" showInputMessage="false" sqref="D42" type="list">
      <formula1>"ACTIVO,PASIVO,PERDIDA,GANANCIA"</formula1>
      <formula2>0</formula2>
    </dataValidation>
    <dataValidation allowBlank="true" errorStyle="stop" operator="between" showDropDown="false" showErrorMessage="false" showInputMessage="false" sqref="D43" type="list">
      <formula1>"ACTIVO,PASIVO,PERDIDA,GANANCIA"</formula1>
      <formula2>0</formula2>
    </dataValidation>
    <dataValidation allowBlank="true" errorStyle="stop" operator="between" showDropDown="false" showErrorMessage="false" showInputMessage="false" sqref="D44" type="list">
      <formula1>"ACTIVO,PASIVO,PERDIDA,GANANCIA"</formula1>
      <formula2>0</formula2>
    </dataValidation>
    <dataValidation allowBlank="true" errorStyle="stop" operator="between" showDropDown="false" showErrorMessage="false" showInputMessage="false" sqref="D45" type="list">
      <formula1>"ACTIVO,PASIVO,PERDIDA,GANANCIA"</formula1>
      <formula2>0</formula2>
    </dataValidation>
    <dataValidation allowBlank="true" errorStyle="stop" operator="between" showDropDown="false" showErrorMessage="false" showInputMessage="false" sqref="D46" type="list">
      <formula1>"ACTIVO,PASIVO,PERDIDA,GANANCIA"</formula1>
      <formula2>0</formula2>
    </dataValidation>
    <dataValidation allowBlank="true" errorStyle="stop" operator="between" showDropDown="false" showErrorMessage="false" showInputMessage="false" sqref="D47" type="list">
      <formula1>"ACTIVO,PASIVO,PERDIDA,GANANCIA"</formula1>
      <formula2>0</formula2>
    </dataValidation>
    <dataValidation allowBlank="true" errorStyle="stop" operator="between" showDropDown="false" showErrorMessage="false" showInputMessage="false" sqref="D48" type="list">
      <formula1>"ACTIVO,PASIVO,PERDIDA,GANANCIA"</formula1>
      <formula2>0</formula2>
    </dataValidation>
    <dataValidation allowBlank="true" errorStyle="stop" operator="between" showDropDown="false" showErrorMessage="false" showInputMessage="false" sqref="D49" type="list">
      <formula1>"ACTIVO,PASIVO,PERDIDA,GANANCIA"</formula1>
      <formula2>0</formula2>
    </dataValidation>
    <dataValidation allowBlank="true" errorStyle="stop" operator="between" showDropDown="false" showErrorMessage="false" showInputMessage="false" sqref="D50" type="list">
      <formula1>"ACTIVO,PASIVO,PERDIDA,GANANCIA"</formula1>
      <formula2>0</formula2>
    </dataValidation>
    <dataValidation allowBlank="true" errorStyle="stop" operator="between" showDropDown="false" showErrorMessage="false" showInputMessage="false" sqref="D51" type="list">
      <formula1>"ACTIVO,PASIVO,PERDIDA,GANANCIA"</formula1>
      <formula2>0</formula2>
    </dataValidation>
    <dataValidation allowBlank="true" errorStyle="stop" operator="between" showDropDown="false" showErrorMessage="false" showInputMessage="false" sqref="D52" type="list">
      <formula1>"ACTIVO,PASIVO,PERDIDA,GANANCIA"</formula1>
      <formula2>0</formula2>
    </dataValidation>
    <dataValidation allowBlank="true" errorStyle="stop" operator="between" showDropDown="false" showErrorMessage="false" showInputMessage="false" sqref="D53" type="list">
      <formula1>"ACTIVO,PASIVO,PERDIDA,GANANCIA"</formula1>
      <formula2>0</formula2>
    </dataValidation>
    <dataValidation allowBlank="true" errorStyle="stop" operator="between" showDropDown="false" showErrorMessage="false" showInputMessage="false" sqref="D54" type="list">
      <formula1>"ACTIVO,PASIVO,PERDIDA,GANANCIA"</formula1>
      <formula2>0</formula2>
    </dataValidation>
    <dataValidation allowBlank="true" errorStyle="stop" operator="between" showDropDown="false" showErrorMessage="false" showInputMessage="false" sqref="D55" type="list">
      <formula1>"ACTIVO,PASIVO,PERDIDA,GANANCIA"</formula1>
      <formula2>0</formula2>
    </dataValidation>
    <dataValidation allowBlank="true" errorStyle="stop" operator="between" showDropDown="false" showErrorMessage="false" showInputMessage="false" sqref="D56" type="list">
      <formula1>"ACTIVO,PASIVO,PERDIDA,GANANCIA"</formula1>
      <formula2>0</formula2>
    </dataValidation>
    <dataValidation allowBlank="true" errorStyle="stop" operator="between" showDropDown="false" showErrorMessage="false" showInputMessage="false" sqref="D57" type="list">
      <formula1>"ACTIVO,PASIVO,PERDIDA,GANANCIA"</formula1>
      <formula2>0</formula2>
    </dataValidation>
    <dataValidation allowBlank="true" errorStyle="stop" operator="between" showDropDown="false" showErrorMessage="false" showInputMessage="false" sqref="D58" type="list">
      <formula1>"ACTIVO,PASIVO,PERDIDA,GANANCIA"</formula1>
      <formula2>0</formula2>
    </dataValidation>
    <dataValidation allowBlank="true" errorStyle="stop" operator="between" showDropDown="false" showErrorMessage="false" showInputMessage="false" sqref="D59" type="list">
      <formula1>"ACTIVO,PASIVO,PERDIDA,GANANCIA"</formula1>
      <formula2>0</formula2>
    </dataValidation>
    <dataValidation allowBlank="true" errorStyle="stop" operator="between" showDropDown="false" showErrorMessage="false" showInputMessage="false" sqref="D60" type="list">
      <formula1>"ACTIVO,PASIVO,PERDIDA,GANANCIA"</formula1>
      <formula2>0</formula2>
    </dataValidation>
    <dataValidation allowBlank="true" errorStyle="stop" operator="between" showDropDown="false" showErrorMessage="false" showInputMessage="false" sqref="D61" type="list">
      <formula1>"ACTIVO,PASIVO,PERDIDA,GANANCIA"</formula1>
      <formula2>0</formula2>
    </dataValidation>
    <dataValidation allowBlank="true" errorStyle="stop" operator="between" showDropDown="false" showErrorMessage="false" showInputMessage="false" sqref="D62" type="list">
      <formula1>"ACTIVO,PASIVO,PERDIDA,GANANCIA"</formula1>
      <formula2>0</formula2>
    </dataValidation>
    <dataValidation allowBlank="true" errorStyle="stop" operator="between" showDropDown="false" showErrorMessage="false" showInputMessage="false" sqref="D63" type="list">
      <formula1>"ACTIVO,PASIVO,PERDIDA,GANANCIA"</formula1>
      <formula2>0</formula2>
    </dataValidation>
    <dataValidation allowBlank="true" errorStyle="stop" operator="between" showDropDown="false" showErrorMessage="false" showInputMessage="false" sqref="D64" type="list">
      <formula1>"ACTIVO,PASIVO,PERDIDA,GANANCIA"</formula1>
      <formula2>0</formula2>
    </dataValidation>
    <dataValidation allowBlank="true" errorStyle="stop" operator="between" showDropDown="false" showErrorMessage="false" showInputMessage="false" sqref="D65" type="list">
      <formula1>"ACTIVO,PASIVO,PERDIDA,GANANCIA"</formula1>
      <formula2>0</formula2>
    </dataValidation>
    <dataValidation allowBlank="true" errorStyle="stop" operator="between" showDropDown="false" showErrorMessage="false" showInputMessage="false" sqref="D66" type="list">
      <formula1>"ACTIVO,PASIVO,PERDIDA,GANANCIA"</formula1>
      <formula2>0</formula2>
    </dataValidation>
    <dataValidation allowBlank="true" errorStyle="stop" operator="between" showDropDown="false" showErrorMessage="false" showInputMessage="false" sqref="D67" type="list">
      <formula1>"ACTIVO,PASIVO,PERDIDA,GANANCIA"</formula1>
      <formula2>0</formula2>
    </dataValidation>
    <dataValidation allowBlank="true" errorStyle="stop" operator="between" showDropDown="false" showErrorMessage="false" showInputMessage="false" sqref="D68" type="list">
      <formula1>"ACTIVO,PASIVO,PERDIDA,GANANCIA"</formula1>
      <formula2>0</formula2>
    </dataValidation>
    <dataValidation allowBlank="true" errorStyle="stop" operator="between" showDropDown="false" showErrorMessage="false" showInputMessage="false" sqref="D69" type="list">
      <formula1>"ACTIVO,PASIVO,PERDIDA,GANANCIA"</formula1>
      <formula2>0</formula2>
    </dataValidation>
    <dataValidation allowBlank="true" errorStyle="stop" operator="between" showDropDown="false" showErrorMessage="false" showInputMessage="false" sqref="D70" type="list">
      <formula1>"ACTIVO,PASIVO,PERDIDA,GANANCIA"</formula1>
      <formula2>0</formula2>
    </dataValidation>
    <dataValidation allowBlank="true" errorStyle="stop" operator="between" showDropDown="false" showErrorMessage="false" showInputMessage="false" sqref="D71" type="list">
      <formula1>"ACTIVO,PASIVO,PERDIDA,GANANCIA"</formula1>
      <formula2>0</formula2>
    </dataValidation>
    <dataValidation allowBlank="true" errorStyle="stop" operator="between" showDropDown="false" showErrorMessage="false" showInputMessage="false" sqref="D72" type="list">
      <formula1>"ACTIVO,PASIVO,PERDIDA,GANANCIA"</formula1>
      <formula2>0</formula2>
    </dataValidation>
    <dataValidation allowBlank="true" errorStyle="stop" operator="between" showDropDown="false" showErrorMessage="false" showInputMessage="false" sqref="D73" type="list">
      <formula1>"ACTIVO,PASIVO,PERDIDA,GANANCIA"</formula1>
      <formula2>0</formula2>
    </dataValidation>
    <dataValidation allowBlank="true" errorStyle="stop" operator="between" showDropDown="false" showErrorMessage="false" showInputMessage="false" sqref="D74" type="list">
      <formula1>"ACTIVO,PASIVO,PERDIDA,GANANCIA"</formula1>
      <formula2>0</formula2>
    </dataValidation>
    <dataValidation allowBlank="true" errorStyle="stop" operator="between" showDropDown="false" showErrorMessage="false" showInputMessage="false" sqref="D75" type="list">
      <formula1>"ACTIVO,PASIVO,PERDIDA,GANANCIA"</formula1>
      <formula2>0</formula2>
    </dataValidation>
    <dataValidation allowBlank="true" errorStyle="stop" operator="between" showDropDown="false" showErrorMessage="false" showInputMessage="false" sqref="D76" type="list">
      <formula1>"ACTIVO,PASIVO,PERDIDA,GANANCIA"</formula1>
      <formula2>0</formula2>
    </dataValidation>
    <dataValidation allowBlank="true" errorStyle="stop" operator="between" showDropDown="false" showErrorMessage="false" showInputMessage="false" sqref="D77" type="list">
      <formula1>"ACTIVO,PASIVO,PERDIDA,GANANCIA"</formula1>
      <formula2>0</formula2>
    </dataValidation>
    <dataValidation allowBlank="true" errorStyle="stop" operator="between" showDropDown="false" showErrorMessage="false" showInputMessage="false" sqref="D78" type="list">
      <formula1>"ACTIVO,PASIVO,PERDIDA,GANANCIA"</formula1>
      <formula2>0</formula2>
    </dataValidation>
    <dataValidation allowBlank="true" errorStyle="stop" operator="between" showDropDown="false" showErrorMessage="false" showInputMessage="false" sqref="D79" type="list">
      <formula1>"ACTIVO,PASIVO,PERDIDA,GANANCIA"</formula1>
      <formula2>0</formula2>
    </dataValidation>
    <dataValidation allowBlank="true" errorStyle="stop" operator="between" showDropDown="false" showErrorMessage="false" showInputMessage="false" sqref="D80" type="list">
      <formula1>"ACTIVO,PASIVO,PERDIDA,GANANCIA"</formula1>
      <formula2>0</formula2>
    </dataValidation>
    <dataValidation allowBlank="true" errorStyle="stop" operator="between" showDropDown="false" showErrorMessage="false" showInputMessage="false" sqref="D81" type="list">
      <formula1>"ACTIVO,PASIVO,PERDIDA,GANANCIA"</formula1>
      <formula2>0</formula2>
    </dataValidation>
    <dataValidation allowBlank="true" errorStyle="stop" operator="between" showDropDown="false" showErrorMessage="false" showInputMessage="false" sqref="D82" type="list">
      <formula1>"ACTIVO,PASIVO,PERDIDA,GANANCIA"</formula1>
      <formula2>0</formula2>
    </dataValidation>
    <dataValidation allowBlank="true" errorStyle="stop" operator="between" showDropDown="false" showErrorMessage="false" showInputMessage="false" sqref="D83" type="list">
      <formula1>"ACTIVO,PASIVO,PERDIDA,GANANCIA"</formula1>
      <formula2>0</formula2>
    </dataValidation>
    <dataValidation allowBlank="true" errorStyle="stop" operator="between" showDropDown="false" showErrorMessage="false" showInputMessage="false" sqref="D84" type="list">
      <formula1>"ACTIVO,PASIVO,PERDIDA,GANANCIA"</formula1>
      <formula2>0</formula2>
    </dataValidation>
    <dataValidation allowBlank="true" errorStyle="stop" operator="between" showDropDown="false" showErrorMessage="false" showInputMessage="false" sqref="D85" type="list">
      <formula1>"ACTIVO,PASIVO,PERDIDA,GANANCIA"</formula1>
      <formula2>0</formula2>
    </dataValidation>
    <dataValidation allowBlank="true" errorStyle="stop" operator="between" showDropDown="false" showErrorMessage="false" showInputMessage="false" sqref="D86" type="list">
      <formula1>"ACTIVO,PASIVO,PERDIDA,GANANCIA"</formula1>
      <formula2>0</formula2>
    </dataValidation>
    <dataValidation allowBlank="true" errorStyle="stop" operator="between" showDropDown="false" showErrorMessage="false" showInputMessage="false" sqref="D87" type="list">
      <formula1>"ACTIVO,PASIVO,PERDIDA,GANANCIA"</formula1>
      <formula2>0</formula2>
    </dataValidation>
    <dataValidation allowBlank="true" errorStyle="stop" operator="between" showDropDown="false" showErrorMessage="false" showInputMessage="false" sqref="D88" type="list">
      <formula1>"ACTIVO,PASIVO,PERDIDA,GANANCIA"</formula1>
      <formula2>0</formula2>
    </dataValidation>
    <dataValidation allowBlank="true" errorStyle="stop" operator="between" showDropDown="false" showErrorMessage="false" showInputMessage="false" sqref="D89" type="list">
      <formula1>"ACTIVO,PASIVO,PERDIDA,GANANCIA"</formula1>
      <formula2>0</formula2>
    </dataValidation>
    <dataValidation allowBlank="true" errorStyle="stop" operator="between" showDropDown="false" showErrorMessage="false" showInputMessage="false" sqref="D90" type="list">
      <formula1>"ACTIVO,PASIVO,PERDIDA,GANANCIA"</formula1>
      <formula2>0</formula2>
    </dataValidation>
    <dataValidation allowBlank="true" errorStyle="stop" operator="between" showDropDown="false" showErrorMessage="false" showInputMessage="false" sqref="D91" type="list">
      <formula1>"ACTIVO,PASIVO,PERDIDA,GANANCIA"</formula1>
      <formula2>0</formula2>
    </dataValidation>
    <dataValidation allowBlank="true" errorStyle="stop" operator="between" showDropDown="false" showErrorMessage="false" showInputMessage="false" sqref="D92" type="list">
      <formula1>"ACTIVO,PASIVO,PERDIDA,GANANCIA"</formula1>
      <formula2>0</formula2>
    </dataValidation>
    <dataValidation allowBlank="true" errorStyle="stop" operator="between" showDropDown="false" showErrorMessage="false" showInputMessage="false" sqref="D93" type="list">
      <formula1>"ACTIVO,PASIVO,PERDIDA,GANANCIA"</formula1>
      <formula2>0</formula2>
    </dataValidation>
    <dataValidation allowBlank="true" errorStyle="stop" operator="between" showDropDown="false" showErrorMessage="false" showInputMessage="false" sqref="D94" type="list">
      <formula1>"ACTIVO,PASIVO,PERDIDA,GANANCIA"</formula1>
      <formula2>0</formula2>
    </dataValidation>
    <dataValidation allowBlank="true" errorStyle="stop" operator="between" showDropDown="false" showErrorMessage="false" showInputMessage="false" sqref="D95" type="list">
      <formula1>"ACTIVO,PASIVO,PERDIDA,GANANCIA"</formula1>
      <formula2>0</formula2>
    </dataValidation>
    <dataValidation allowBlank="true" errorStyle="stop" operator="between" showDropDown="false" showErrorMessage="false" showInputMessage="false" sqref="D96" type="list">
      <formula1>"ACTIVO,PASIVO,PERDIDA,GANANCIA"</formula1>
      <formula2>0</formula2>
    </dataValidation>
    <dataValidation allowBlank="true" errorStyle="stop" operator="between" showDropDown="false" showErrorMessage="false" showInputMessage="false" sqref="D97" type="list">
      <formula1>"ACTIVO,PASIVO,PERDIDA,GANANCIA"</formula1>
      <formula2>0</formula2>
    </dataValidation>
    <dataValidation allowBlank="true" errorStyle="stop" operator="between" showDropDown="false" showErrorMessage="false" showInputMessage="false" sqref="D98" type="list">
      <formula1>"ACTIVO,PASIVO,PERDIDA,GANANCIA"</formula1>
      <formula2>0</formula2>
    </dataValidation>
    <dataValidation allowBlank="true" errorStyle="stop" operator="between" showDropDown="false" showErrorMessage="false" showInputMessage="false" sqref="D99" type="list">
      <formula1>"ACTIVO,PASIVO,PERDIDA,GANANCIA"</formula1>
      <formula2>0</formula2>
    </dataValidation>
    <dataValidation allowBlank="true" errorStyle="stop" operator="between" showDropDown="false" showErrorMessage="false" showInputMessage="false" sqref="D100" type="list">
      <formula1>"ACTIVO,PASIVO,PERDIDA,GANANCIA"</formula1>
      <formula2>0</formula2>
    </dataValidation>
    <dataValidation allowBlank="true" errorStyle="stop" operator="between" showDropDown="false" showErrorMessage="false" showInputMessage="false" sqref="D101" type="list">
      <formula1>"ACTIVO,PASIVO,PERDIDA,GANANCIA"</formula1>
      <formula2>0</formula2>
    </dataValidation>
    <dataValidation allowBlank="true" errorStyle="stop" operator="between" showDropDown="false" showErrorMessage="false" showInputMessage="false" sqref="D102" type="list">
      <formula1>"ACTIVO,PASIVO,PERDIDA,GANANCIA"</formula1>
      <formula2>0</formula2>
    </dataValidation>
    <dataValidation allowBlank="true" errorStyle="stop" operator="between" showDropDown="false" showErrorMessage="false" showInputMessage="false" sqref="D103" type="list">
      <formula1>"ACTIVO,PASIVO,PERDIDA,GANANCIA"</formula1>
      <formula2>0</formula2>
    </dataValidation>
    <dataValidation allowBlank="true" errorStyle="stop" operator="between" showDropDown="false" showErrorMessage="false" showInputMessage="false" sqref="D104" type="list">
      <formula1>"ACTIVO,PASIVO,PERDIDA,GANANCIA"</formula1>
      <formula2>0</formula2>
    </dataValidation>
    <dataValidation allowBlank="true" errorStyle="stop" operator="between" showDropDown="false" showErrorMessage="false" showInputMessage="false" sqref="D105" type="list">
      <formula1>"ACTIVO,PASIVO,PERDIDA,GANANCIA"</formula1>
      <formula2>0</formula2>
    </dataValidation>
    <dataValidation allowBlank="true" errorStyle="stop" operator="between" showDropDown="false" showErrorMessage="false" showInputMessage="false" sqref="D106" type="list">
      <formula1>"ACTIVO,PASIVO,PERDIDA,GANANCIA"</formula1>
      <formula2>0</formula2>
    </dataValidation>
    <dataValidation allowBlank="true" errorStyle="stop" operator="between" showDropDown="false" showErrorMessage="false" showInputMessage="false" sqref="D107" type="list">
      <formula1>"ACTIVO,PASIVO,PERDIDA,GANANCIA"</formula1>
      <formula2>0</formula2>
    </dataValidation>
    <dataValidation allowBlank="true" errorStyle="stop" operator="between" showDropDown="false" showErrorMessage="false" showInputMessage="false" sqref="D108" type="list">
      <formula1>"ACTIVO,PASIVO,PERDIDA,GANANCIA"</formula1>
      <formula2>0</formula2>
    </dataValidation>
    <dataValidation allowBlank="true" errorStyle="stop" operator="between" showDropDown="false" showErrorMessage="false" showInputMessage="false" sqref="D109" type="list">
      <formula1>"ACTIVO,PASIVO,PERDIDA,GANANCIA"</formula1>
      <formula2>0</formula2>
    </dataValidation>
    <dataValidation allowBlank="true" errorStyle="stop" operator="between" showDropDown="false" showErrorMessage="false" showInputMessage="false" sqref="D110" type="list">
      <formula1>"ACTIVO,PASIVO,PERDIDA,GANANCIA"</formula1>
      <formula2>0</formula2>
    </dataValidation>
    <dataValidation allowBlank="true" errorStyle="stop" operator="between" showDropDown="false" showErrorMessage="false" showInputMessage="false" sqref="D111" type="list">
      <formula1>"ACTIVO,PASIVO,PERDIDA,GANANCIA"</formula1>
      <formula2>0</formula2>
    </dataValidation>
    <dataValidation allowBlank="true" errorStyle="stop" operator="between" showDropDown="false" showErrorMessage="false" showInputMessage="false" sqref="D112" type="list">
      <formula1>"ACTIVO,PASIVO,PERDIDA,GANANCIA"</formula1>
      <formula2>0</formula2>
    </dataValidation>
    <dataValidation allowBlank="true" errorStyle="stop" operator="between" showDropDown="false" showErrorMessage="false" showInputMessage="false" sqref="D113" type="list">
      <formula1>"ACTIVO,PASIVO,PERDIDA,GANANCIA"</formula1>
      <formula2>0</formula2>
    </dataValidation>
    <dataValidation allowBlank="true" errorStyle="stop" operator="between" showDropDown="false" showErrorMessage="false" showInputMessage="false" sqref="D114" type="list">
      <formula1>"ACTIVO,PASIVO,PERDIDA,GANANCIA"</formula1>
      <formula2>0</formula2>
    </dataValidation>
    <dataValidation allowBlank="true" errorStyle="stop" operator="between" showDropDown="false" showErrorMessage="false" showInputMessage="false" sqref="D115" type="list">
      <formula1>"ACTIVO,PASIVO,PERDIDA,GANANCIA"</formula1>
      <formula2>0</formula2>
    </dataValidation>
    <dataValidation allowBlank="true" errorStyle="stop" operator="between" showDropDown="false" showErrorMessage="false" showInputMessage="false" sqref="D116" type="list">
      <formula1>"ACTIVO,PASIVO,PERDIDA,GANANCIA"</formula1>
      <formula2>0</formula2>
    </dataValidation>
    <dataValidation allowBlank="true" errorStyle="stop" operator="between" showDropDown="false" showErrorMessage="false" showInputMessage="false" sqref="D117" type="list">
      <formula1>"ACTIVO,PASIVO,PERDIDA,GANANCIA"</formula1>
      <formula2>0</formula2>
    </dataValidation>
    <dataValidation allowBlank="true" errorStyle="stop" operator="between" showDropDown="false" showErrorMessage="false" showInputMessage="false" sqref="D118" type="list">
      <formula1>"ACTIVO,PASIVO,PERDIDA,GANANCIA"</formula1>
      <formula2>0</formula2>
    </dataValidation>
    <dataValidation allowBlank="true" errorStyle="stop" operator="between" showDropDown="false" showErrorMessage="false" showInputMessage="false" sqref="D119" type="list">
      <formula1>"ACTIVO,PASIVO,PERDIDA,GANANCIA"</formula1>
      <formula2>0</formula2>
    </dataValidation>
    <dataValidation allowBlank="true" errorStyle="stop" operator="between" showDropDown="false" showErrorMessage="false" showInputMessage="false" sqref="D120" type="list">
      <formula1>"ACTIVO,PASIVO,PERDIDA,GANANCIA"</formula1>
      <formula2>0</formula2>
    </dataValidation>
    <dataValidation allowBlank="true" errorStyle="stop" operator="between" showDropDown="false" showErrorMessage="false" showInputMessage="false" sqref="D121" type="list">
      <formula1>"ACTIVO,PASIVO,PERDIDA,GANANCIA"</formula1>
      <formula2>0</formula2>
    </dataValidation>
    <dataValidation allowBlank="true" errorStyle="stop" operator="between" showDropDown="false" showErrorMessage="false" showInputMessage="false" sqref="D122" type="list">
      <formula1>"ACTIVO,PASIVO,PERDIDA,GANANCIA"</formula1>
      <formula2>0</formula2>
    </dataValidation>
    <dataValidation allowBlank="true" errorStyle="stop" operator="between" showDropDown="false" showErrorMessage="false" showInputMessage="false" sqref="D123" type="list">
      <formula1>"ACTIVO,PASIVO,PERDIDA,GANANCIA"</formula1>
      <formula2>0</formula2>
    </dataValidation>
    <dataValidation allowBlank="true" errorStyle="stop" operator="between" showDropDown="false" showErrorMessage="false" showInputMessage="false" sqref="D124" type="list">
      <formula1>"ACTIVO,PASIVO,PERDIDA,GANANCIA"</formula1>
      <formula2>0</formula2>
    </dataValidation>
    <dataValidation allowBlank="true" errorStyle="stop" operator="between" showDropDown="false" showErrorMessage="false" showInputMessage="false" sqref="D125" type="list">
      <formula1>"ACTIVO,PASIVO,PERDIDA,GANANCIA"</formula1>
      <formula2>0</formula2>
    </dataValidation>
    <dataValidation allowBlank="true" errorStyle="stop" operator="between" showDropDown="false" showErrorMessage="false" showInputMessage="false" sqref="D126" type="list">
      <formula1>"ACTIVO,PASIVO,PERDIDA,GANANCIA"</formula1>
      <formula2>0</formula2>
    </dataValidation>
    <dataValidation allowBlank="true" errorStyle="stop" operator="between" showDropDown="false" showErrorMessage="false" showInputMessage="false" sqref="D127" type="list">
      <formula1>"ACTIVO,PASIVO,PERDIDA,GANANCIA"</formula1>
      <formula2>0</formula2>
    </dataValidation>
    <dataValidation allowBlank="true" errorStyle="stop" operator="between" showDropDown="false" showErrorMessage="false" showInputMessage="false" sqref="D128" type="list">
      <formula1>"ACTIVO,PASIVO,PERDIDA,GANANCIA"</formula1>
      <formula2>0</formula2>
    </dataValidation>
    <dataValidation allowBlank="true" errorStyle="stop" operator="between" showDropDown="false" showErrorMessage="false" showInputMessage="false" sqref="D129" type="list">
      <formula1>"ACTIVO,PASIVO,PERDIDA,GANANCIA"</formula1>
      <formula2>0</formula2>
    </dataValidation>
    <dataValidation allowBlank="true" errorStyle="stop" operator="between" showDropDown="false" showErrorMessage="false" showInputMessage="false" sqref="D130" type="list">
      <formula1>"ACTIVO,PASIVO,PERDIDA,GANANCIA"</formula1>
      <formula2>0</formula2>
    </dataValidation>
    <dataValidation allowBlank="true" errorStyle="stop" operator="between" showDropDown="false" showErrorMessage="false" showInputMessage="false" sqref="D131" type="list">
      <formula1>"ACTIVO,PASIVO,PERDIDA,GANANCIA"</formula1>
      <formula2>0</formula2>
    </dataValidation>
    <dataValidation allowBlank="true" errorStyle="stop" operator="between" showDropDown="false" showErrorMessage="false" showInputMessage="false" sqref="D132" type="list">
      <formula1>"ACTIVO,PASIVO,PERDIDA,GANANCIA"</formula1>
      <formula2>0</formula2>
    </dataValidation>
    <dataValidation allowBlank="true" errorStyle="stop" operator="between" showDropDown="false" showErrorMessage="false" showInputMessage="false" sqref="D133" type="list">
      <formula1>"ACTIVO,PASIVO,PERDIDA,GANANCIA"</formula1>
      <formula2>0</formula2>
    </dataValidation>
    <dataValidation allowBlank="true" errorStyle="stop" operator="between" showDropDown="false" showErrorMessage="false" showInputMessage="false" sqref="D134" type="list">
      <formula1>"ACTIVO,PASIVO,PERDIDA,GANANCIA"</formula1>
      <formula2>0</formula2>
    </dataValidation>
    <dataValidation allowBlank="true" errorStyle="stop" operator="between" showDropDown="false" showErrorMessage="false" showInputMessage="false" sqref="D135" type="list">
      <formula1>"ACTIVO,PASIVO,PERDIDA,GANANCIA"</formula1>
      <formula2>0</formula2>
    </dataValidation>
    <dataValidation allowBlank="true" errorStyle="stop" operator="between" showDropDown="false" showErrorMessage="false" showInputMessage="false" sqref="D136" type="list">
      <formula1>"ACTIVO,PASIVO,PERDIDA,GANANCIA"</formula1>
      <formula2>0</formula2>
    </dataValidation>
    <dataValidation allowBlank="true" errorStyle="stop" operator="between" showDropDown="false" showErrorMessage="false" showInputMessage="false" sqref="D137" type="list">
      <formula1>"ACTIVO,PASIVO,PERDIDA,GANANCIA"</formula1>
      <formula2>0</formula2>
    </dataValidation>
    <dataValidation allowBlank="true" errorStyle="stop" operator="between" showDropDown="false" showErrorMessage="false" showInputMessage="false" sqref="D138" type="list">
      <formula1>"ACTIVO,PASIVO,PERDIDA,GANANCIA"</formula1>
      <formula2>0</formula2>
    </dataValidation>
    <dataValidation allowBlank="true" errorStyle="stop" operator="between" showDropDown="false" showErrorMessage="false" showInputMessage="false" sqref="D139" type="list">
      <formula1>"ACTIVO,PASIVO,PERDIDA,GANANCIA"</formula1>
      <formula2>0</formula2>
    </dataValidation>
    <dataValidation allowBlank="true" errorStyle="stop" operator="between" showDropDown="false" showErrorMessage="false" showInputMessage="false" sqref="D140" type="list">
      <formula1>"ACTIVO,PASIVO,PERDIDA,GANANCIA"</formula1>
      <formula2>0</formula2>
    </dataValidation>
    <dataValidation allowBlank="true" errorStyle="stop" operator="between" showDropDown="false" showErrorMessage="false" showInputMessage="false" sqref="D141" type="list">
      <formula1>"ACTIVO,PASIVO,PERDIDA,GANANCIA"</formula1>
      <formula2>0</formula2>
    </dataValidation>
    <dataValidation allowBlank="true" errorStyle="stop" operator="between" showDropDown="false" showErrorMessage="false" showInputMessage="false" sqref="D142" type="list">
      <formula1>"ACTIVO,PASIVO,PERDIDA,GANANCIA"</formula1>
      <formula2>0</formula2>
    </dataValidation>
    <dataValidation allowBlank="true" errorStyle="stop" operator="between" showDropDown="false" showErrorMessage="false" showInputMessage="false" sqref="D143" type="list">
      <formula1>"ACTIVO,PASIVO,PERDIDA,GANANCIA"</formula1>
      <formula2>0</formula2>
    </dataValidation>
    <dataValidation allowBlank="true" errorStyle="stop" operator="between" showDropDown="false" showErrorMessage="false" showInputMessage="false" sqref="D144" type="list">
      <formula1>"ACTIVO,PASIVO,PERDIDA,GANANCIA"</formula1>
      <formula2>0</formula2>
    </dataValidation>
    <dataValidation allowBlank="true" errorStyle="stop" operator="between" showDropDown="false" showErrorMessage="false" showInputMessage="false" sqref="D145" type="list">
      <formula1>"ACTIVO,PASIVO,PERDIDA,GANANCIA"</formula1>
      <formula2>0</formula2>
    </dataValidation>
    <dataValidation allowBlank="true" errorStyle="stop" operator="between" showDropDown="false" showErrorMessage="false" showInputMessage="false" sqref="D146" type="list">
      <formula1>"ACTIVO,PASIVO,PERDIDA,GANANCIA"</formula1>
      <formula2>0</formula2>
    </dataValidation>
    <dataValidation allowBlank="true" errorStyle="stop" operator="between" showDropDown="false" showErrorMessage="false" showInputMessage="false" sqref="D147" type="list">
      <formula1>"ACTIVO,PASIVO,PERDIDA,GANANCIA"</formula1>
      <formula2>0</formula2>
    </dataValidation>
    <dataValidation allowBlank="true" errorStyle="stop" operator="between" showDropDown="false" showErrorMessage="false" showInputMessage="false" sqref="D148" type="list">
      <formula1>"ACTIVO,PASIVO,PERDIDA,GANANCIA"</formula1>
      <formula2>0</formula2>
    </dataValidation>
    <dataValidation allowBlank="true" errorStyle="stop" operator="between" showDropDown="false" showErrorMessage="false" showInputMessage="false" sqref="D149" type="list">
      <formula1>"ACTIVO,PASIVO,PERDIDA,GANANCIA"</formula1>
      <formula2>0</formula2>
    </dataValidation>
    <dataValidation allowBlank="true" errorStyle="stop" operator="between" showDropDown="false" showErrorMessage="false" showInputMessage="false" sqref="D150" type="list">
      <formula1>"ACTIVO,PASIVO,PERDIDA,GANANCIA"</formula1>
      <formula2>0</formula2>
    </dataValidation>
    <dataValidation allowBlank="true" errorStyle="stop" operator="between" showDropDown="false" showErrorMessage="false" showInputMessage="false" sqref="D151" type="list">
      <formula1>"ACTIVO,PASIVO,PERDIDA,GANANCIA"</formula1>
      <formula2>0</formula2>
    </dataValidation>
    <dataValidation allowBlank="true" errorStyle="stop" operator="between" showDropDown="false" showErrorMessage="false" showInputMessage="false" sqref="D152" type="list">
      <formula1>"ACTIVO,PASIVO,PERDIDA,GANANCIA"</formula1>
      <formula2>0</formula2>
    </dataValidation>
    <dataValidation allowBlank="true" errorStyle="stop" operator="between" showDropDown="false" showErrorMessage="false" showInputMessage="false" sqref="D153" type="list">
      <formula1>"ACTIVO,PASIVO,PERDIDA,GANANCIA"</formula1>
      <formula2>0</formula2>
    </dataValidation>
    <dataValidation allowBlank="true" errorStyle="stop" operator="between" showDropDown="false" showErrorMessage="false" showInputMessage="false" sqref="D154" type="list">
      <formula1>"ACTIVO,PASIVO,PERDIDA,GANANCIA"</formula1>
      <formula2>0</formula2>
    </dataValidation>
    <dataValidation allowBlank="true" errorStyle="stop" operator="between" showDropDown="false" showErrorMessage="false" showInputMessage="false" sqref="D155" type="list">
      <formula1>"ACTIVO,PASIVO,PERDIDA,GANANCIA"</formula1>
      <formula2>0</formula2>
    </dataValidation>
    <dataValidation allowBlank="true" errorStyle="stop" operator="between" showDropDown="false" showErrorMessage="false" showInputMessage="false" sqref="D156" type="list">
      <formula1>"ACTIVO,PASIVO,PERDIDA,GANANCIA"</formula1>
      <formula2>0</formula2>
    </dataValidation>
    <dataValidation allowBlank="true" errorStyle="stop" operator="between" showDropDown="false" showErrorMessage="false" showInputMessage="false" sqref="D157" type="list">
      <formula1>"ACTIVO,PASIVO,PERDIDA,GANANCIA"</formula1>
      <formula2>0</formula2>
    </dataValidation>
    <dataValidation allowBlank="true" errorStyle="stop" operator="between" showDropDown="false" showErrorMessage="false" showInputMessage="false" sqref="D158" type="list">
      <formula1>"ACTIVO,PASIVO,PERDIDA,GANANCIA"</formula1>
      <formula2>0</formula2>
    </dataValidation>
    <dataValidation allowBlank="true" errorStyle="stop" operator="between" showDropDown="false" showErrorMessage="false" showInputMessage="false" sqref="D159" type="list">
      <formula1>"ACTIVO,PASIVO,PERDIDA,GANANCIA"</formula1>
      <formula2>0</formula2>
    </dataValidation>
    <dataValidation allowBlank="true" errorStyle="stop" operator="between" showDropDown="false" showErrorMessage="false" showInputMessage="false" sqref="D160" type="list">
      <formula1>"ACTIVO,PASIVO,PERDIDA,GANANCIA"</formula1>
      <formula2>0</formula2>
    </dataValidation>
    <dataValidation allowBlank="true" errorStyle="stop" operator="between" showDropDown="false" showErrorMessage="false" showInputMessage="false" sqref="D161" type="list">
      <formula1>"ACTIVO,PASIVO,PERDIDA,GANANCIA"</formula1>
      <formula2>0</formula2>
    </dataValidation>
    <dataValidation allowBlank="true" errorStyle="stop" operator="between" showDropDown="false" showErrorMessage="false" showInputMessage="false" sqref="D162" type="list">
      <formula1>"ACTIVO,PASIVO,PERDIDA,GANANCIA"</formula1>
      <formula2>0</formula2>
    </dataValidation>
    <dataValidation allowBlank="true" errorStyle="stop" operator="between" showDropDown="false" showErrorMessage="false" showInputMessage="false" sqref="D163" type="list">
      <formula1>"ACTIVO,PASIVO,PERDIDA,GANANCIA"</formula1>
      <formula2>0</formula2>
    </dataValidation>
    <dataValidation allowBlank="true" errorStyle="stop" operator="between" showDropDown="false" showErrorMessage="false" showInputMessage="false" sqref="D164" type="list">
      <formula1>"ACTIVO,PASIVO,PERDIDA,GANANCIA"</formula1>
      <formula2>0</formula2>
    </dataValidation>
    <dataValidation allowBlank="true" errorStyle="stop" operator="between" showDropDown="false" showErrorMessage="false" showInputMessage="false" sqref="D165" type="list">
      <formula1>"ACTIVO,PASIVO,PERDIDA,GANANCIA"</formula1>
      <formula2>0</formula2>
    </dataValidation>
    <dataValidation allowBlank="true" errorStyle="stop" operator="between" showDropDown="false" showErrorMessage="false" showInputMessage="false" sqref="D166" type="list">
      <formula1>"ACTIVO,PASIVO,PERDIDA,GANANCIA"</formula1>
      <formula2>0</formula2>
    </dataValidation>
    <dataValidation allowBlank="true" errorStyle="stop" operator="between" showDropDown="false" showErrorMessage="false" showInputMessage="false" sqref="D167" type="list">
      <formula1>"ACTIVO,PASIVO,PERDIDA,GANANCIA"</formula1>
      <formula2>0</formula2>
    </dataValidation>
    <dataValidation allowBlank="true" errorStyle="stop" operator="between" showDropDown="false" showErrorMessage="false" showInputMessage="false" sqref="D168" type="list">
      <formula1>"ACTIVO,PASIVO,PERDIDA,GANANCIA"</formula1>
      <formula2>0</formula2>
    </dataValidation>
    <dataValidation allowBlank="true" errorStyle="stop" operator="between" showDropDown="false" showErrorMessage="false" showInputMessage="false" sqref="D169" type="list">
      <formula1>"ACTIVO,PASIVO,PERDIDA,GANANCIA"</formula1>
      <formula2>0</formula2>
    </dataValidation>
    <dataValidation allowBlank="true" errorStyle="stop" operator="between" showDropDown="false" showErrorMessage="false" showInputMessage="false" sqref="D170" type="list">
      <formula1>"ACTIVO,PASIVO,PERDIDA,GANANCIA"</formula1>
      <formula2>0</formula2>
    </dataValidation>
    <dataValidation allowBlank="true" errorStyle="stop" operator="between" showDropDown="false" showErrorMessage="false" showInputMessage="false" sqref="D171" type="list">
      <formula1>"ACTIVO,PASIVO,PERDIDA,GANANCIA"</formula1>
      <formula2>0</formula2>
    </dataValidation>
    <dataValidation allowBlank="true" errorStyle="stop" operator="between" showDropDown="false" showErrorMessage="false" showInputMessage="false" sqref="D172" type="list">
      <formula1>"ACTIVO,PASIVO,PERDIDA,GANANCIA"</formula1>
      <formula2>0</formula2>
    </dataValidation>
    <dataValidation allowBlank="true" errorStyle="stop" operator="between" showDropDown="false" showErrorMessage="false" showInputMessage="false" sqref="D173" type="list">
      <formula1>"ACTIVO,PASIVO,PERDIDA,GANANCIA"</formula1>
      <formula2>0</formula2>
    </dataValidation>
    <dataValidation allowBlank="true" errorStyle="stop" operator="between" showDropDown="false" showErrorMessage="false" showInputMessage="false" sqref="D174" type="list">
      <formula1>"ACTIVO,PASIVO,PERDIDA,GANANCIA"</formula1>
      <formula2>0</formula2>
    </dataValidation>
    <dataValidation allowBlank="true" errorStyle="stop" operator="between" showDropDown="false" showErrorMessage="false" showInputMessage="false" sqref="D175" type="list">
      <formula1>"ACTIVO,PASIVO,PERDIDA,GANANCIA"</formula1>
      <formula2>0</formula2>
    </dataValidation>
    <dataValidation allowBlank="true" errorStyle="stop" operator="between" showDropDown="false" showErrorMessage="false" showInputMessage="false" sqref="D176" type="list">
      <formula1>"ACTIVO,PASIVO,PERDIDA,GANANCIA"</formula1>
      <formula2>0</formula2>
    </dataValidation>
    <dataValidation allowBlank="true" errorStyle="stop" operator="between" showDropDown="false" showErrorMessage="false" showInputMessage="false" sqref="D177" type="list">
      <formula1>"ACTIVO,PASIVO,PERDIDA,GANANCIA"</formula1>
      <formula2>0</formula2>
    </dataValidation>
    <dataValidation allowBlank="true" errorStyle="stop" operator="between" showDropDown="false" showErrorMessage="false" showInputMessage="false" sqref="D178" type="list">
      <formula1>"ACTIVO,PASIVO,PERDIDA,GANANCIA"</formula1>
      <formula2>0</formula2>
    </dataValidation>
    <dataValidation allowBlank="true" errorStyle="stop" operator="between" showDropDown="false" showErrorMessage="false" showInputMessage="false" sqref="D179" type="list">
      <formula1>"ACTIVO,PASIVO,PERDIDA,GANANCIA"</formula1>
      <formula2>0</formula2>
    </dataValidation>
    <dataValidation allowBlank="true" errorStyle="stop" operator="between" showDropDown="false" showErrorMessage="false" showInputMessage="false" sqref="D180" type="list">
      <formula1>"ACTIVO,PASIVO,PERDIDA,GANANCIA"</formula1>
      <formula2>0</formula2>
    </dataValidation>
    <dataValidation allowBlank="true" errorStyle="stop" operator="between" showDropDown="false" showErrorMessage="false" showInputMessage="false" sqref="D181" type="list">
      <formula1>"ACTIVO,PASIVO,PERDIDA,GANANCIA"</formula1>
      <formula2>0</formula2>
    </dataValidation>
    <dataValidation allowBlank="true" errorStyle="stop" operator="between" showDropDown="false" showErrorMessage="false" showInputMessage="false" sqref="D182" type="list">
      <formula1>"ACTIVO,PASIVO,PERDIDA,GANANCIA"</formula1>
      <formula2>0</formula2>
    </dataValidation>
    <dataValidation allowBlank="true" errorStyle="stop" operator="between" showDropDown="false" showErrorMessage="false" showInputMessage="false" sqref="D183" type="list">
      <formula1>"ACTIVO,PASIVO,PERDIDA,GANANCIA"</formula1>
      <formula2>0</formula2>
    </dataValidation>
    <dataValidation allowBlank="true" errorStyle="stop" operator="between" showDropDown="false" showErrorMessage="false" showInputMessage="false" sqref="D184" type="list">
      <formula1>"ACTIVO,PASIVO,PERDIDA,GANANCIA"</formula1>
      <formula2>0</formula2>
    </dataValidation>
    <dataValidation allowBlank="true" errorStyle="stop" operator="between" showDropDown="false" showErrorMessage="false" showInputMessage="false" sqref="D185" type="list">
      <formula1>"ACTIVO,PASIVO,PERDIDA,GANANCIA"</formula1>
      <formula2>0</formula2>
    </dataValidation>
    <dataValidation allowBlank="true" errorStyle="stop" operator="between" showDropDown="false" showErrorMessage="false" showInputMessage="false" sqref="D186" type="list">
      <formula1>"ACTIVO,PASIVO,PERDIDA,GANANCIA"</formula1>
      <formula2>0</formula2>
    </dataValidation>
    <dataValidation allowBlank="true" errorStyle="stop" operator="between" showDropDown="false" showErrorMessage="false" showInputMessage="false" sqref="D187" type="list">
      <formula1>"ACTIVO,PASIVO,PERDIDA,GANANCIA"</formula1>
      <formula2>0</formula2>
    </dataValidation>
    <dataValidation allowBlank="true" errorStyle="stop" operator="between" showDropDown="false" showErrorMessage="false" showInputMessage="false" sqref="D188" type="list">
      <formula1>"ACTIVO,PASIVO,PERDIDA,GANANCIA"</formula1>
      <formula2>0</formula2>
    </dataValidation>
    <dataValidation allowBlank="true" errorStyle="stop" operator="between" showDropDown="false" showErrorMessage="false" showInputMessage="false" sqref="D189" type="list">
      <formula1>"ACTIVO,PASIVO,PERDIDA,GANANCIA"</formula1>
      <formula2>0</formula2>
    </dataValidation>
    <dataValidation allowBlank="true" errorStyle="stop" operator="between" showDropDown="false" showErrorMessage="false" showInputMessage="false" sqref="D190" type="list">
      <formula1>"ACTIVO,PASIVO,PERDIDA,GANANCIA"</formula1>
      <formula2>0</formula2>
    </dataValidation>
    <dataValidation allowBlank="true" errorStyle="stop" operator="between" showDropDown="false" showErrorMessage="false" showInputMessage="false" sqref="D191" type="list">
      <formula1>"ACTIVO,PASIVO,PERDIDA,GANANCIA"</formula1>
      <formula2>0</formula2>
    </dataValidation>
    <dataValidation allowBlank="true" errorStyle="stop" operator="between" showDropDown="false" showErrorMessage="false" showInputMessage="false" sqref="D192" type="list">
      <formula1>"ACTIVO,PASIVO,PERDIDA,GANANCIA"</formula1>
      <formula2>0</formula2>
    </dataValidation>
    <dataValidation allowBlank="true" errorStyle="stop" operator="between" showDropDown="false" showErrorMessage="false" showInputMessage="false" sqref="D193" type="list">
      <formula1>"ACTIVO,PASIVO,PERDIDA,GANANCIA"</formula1>
      <formula2>0</formula2>
    </dataValidation>
    <dataValidation allowBlank="true" errorStyle="stop" operator="between" showDropDown="false" showErrorMessage="false" showInputMessage="false" sqref="D194" type="list">
      <formula1>"ACTIVO,PASIVO,PERDIDA,GANANCIA"</formula1>
      <formula2>0</formula2>
    </dataValidation>
    <dataValidation allowBlank="true" errorStyle="stop" operator="between" showDropDown="false" showErrorMessage="false" showInputMessage="false" sqref="D195" type="list">
      <formula1>"ACTIVO,PASIVO,PERDIDA,GANANCIA"</formula1>
      <formula2>0</formula2>
    </dataValidation>
    <dataValidation allowBlank="true" errorStyle="stop" operator="between" showDropDown="false" showErrorMessage="false" showInputMessage="false" sqref="D196" type="list">
      <formula1>"ACTIVO,PASIVO,PERDIDA,GANANCIA"</formula1>
      <formula2>0</formula2>
    </dataValidation>
    <dataValidation allowBlank="true" errorStyle="stop" operator="between" showDropDown="false" showErrorMessage="false" showInputMessage="false" sqref="D197" type="list">
      <formula1>"ACTIVO,PASIVO,PERDIDA,GANANCIA"</formula1>
      <formula2>0</formula2>
    </dataValidation>
    <dataValidation allowBlank="true" errorStyle="stop" operator="between" showDropDown="false" showErrorMessage="false" showInputMessage="false" sqref="D198" type="list">
      <formula1>"ACTIVO,PASIVO,PERDIDA,GANANCIA"</formula1>
      <formula2>0</formula2>
    </dataValidation>
    <dataValidation allowBlank="true" errorStyle="stop" operator="between" showDropDown="false" showErrorMessage="false" showInputMessage="false" sqref="D199" type="list">
      <formula1>"ACTIVO,PASIVO,PERDIDA,GANANCIA"</formula1>
      <formula2>0</formula2>
    </dataValidation>
    <dataValidation allowBlank="true" errorStyle="stop" operator="between" showDropDown="false" showErrorMessage="false" showInputMessage="false" sqref="D200" type="list">
      <formula1>"ACTIVO,PASIVO,PERDIDA,GANANCIA"</formula1>
      <formula2>0</formula2>
    </dataValidation>
    <dataValidation allowBlank="true" errorStyle="stop" operator="between" showDropDown="false" showErrorMessage="false" showInputMessage="false" sqref="D201" type="list">
      <formula1>"ACTIVO,PASIVO,PERDIDA,GANANCIA"</formula1>
      <formula2>0</formula2>
    </dataValidation>
    <dataValidation allowBlank="true" errorStyle="stop" operator="between" showDropDown="false" showErrorMessage="false" showInputMessage="false" sqref="D202" type="list">
      <formula1>"ACTIVO,PASIVO,PERDIDA,GANANCIA"</formula1>
      <formula2>0</formula2>
    </dataValidation>
    <dataValidation allowBlank="true" errorStyle="stop" operator="between" showDropDown="false" showErrorMessage="false" showInputMessage="false" sqref="D203" type="list">
      <formula1>"ACTIVO,PASIVO,PERDIDA,GANANCIA"</formula1>
      <formula2>0</formula2>
    </dataValidation>
    <dataValidation allowBlank="true" errorStyle="stop" operator="between" showDropDown="false" showErrorMessage="false" showInputMessage="false" sqref="D204" type="list">
      <formula1>"ACTIVO,PASIVO,PERDIDA,GANANCIA"</formula1>
      <formula2>0</formula2>
    </dataValidation>
    <dataValidation allowBlank="true" errorStyle="stop" operator="between" showDropDown="false" showErrorMessage="false" showInputMessage="false" sqref="D205" type="list">
      <formula1>"ACTIVO,PASIVO,PERDIDA,GANANCIA"</formula1>
      <formula2>0</formula2>
    </dataValidation>
    <dataValidation allowBlank="true" errorStyle="stop" operator="between" showDropDown="false" showErrorMessage="false" showInputMessage="false" sqref="D206" type="list">
      <formula1>"ACTIVO,PASIVO,PERDIDA,GANANCIA"</formula1>
      <formula2>0</formula2>
    </dataValidation>
    <dataValidation allowBlank="true" errorStyle="stop" operator="between" showDropDown="false" showErrorMessage="false" showInputMessage="false" sqref="D207" type="list">
      <formula1>"ACTIVO,PASIVO,PERDIDA,GANANCIA"</formula1>
      <formula2>0</formula2>
    </dataValidation>
    <dataValidation allowBlank="true" errorStyle="stop" operator="between" showDropDown="false" showErrorMessage="false" showInputMessage="false" sqref="D208" type="list">
      <formula1>"ACTIVO,PASIVO,PERDIDA,GANANCIA"</formula1>
      <formula2>0</formula2>
    </dataValidation>
    <dataValidation allowBlank="true" errorStyle="stop" operator="between" showDropDown="false" showErrorMessage="false" showInputMessage="false" sqref="D209" type="list">
      <formula1>"ACTIVO,PASIVO,PERDIDA,GANANCIA"</formula1>
      <formula2>0</formula2>
    </dataValidation>
    <dataValidation allowBlank="true" errorStyle="stop" operator="between" showDropDown="false" showErrorMessage="false" showInputMessage="false" sqref="D210" type="list">
      <formula1>"ACTIVO,PASIVO,PERDIDA,GANANCIA"</formula1>
      <formula2>0</formula2>
    </dataValidation>
    <dataValidation allowBlank="true" errorStyle="stop" operator="between" showDropDown="false" showErrorMessage="false" showInputMessage="false" sqref="D211" type="list">
      <formula1>"ACTIVO,PASIVO,PERDIDA,GANANCIA"</formula1>
      <formula2>0</formula2>
    </dataValidation>
    <dataValidation allowBlank="true" errorStyle="stop" operator="between" showDropDown="false" showErrorMessage="false" showInputMessage="false" sqref="D212" type="list">
      <formula1>"ACTIVO,PASIVO,PERDIDA,GANANCIA"</formula1>
      <formula2>0</formula2>
    </dataValidation>
    <dataValidation allowBlank="true" errorStyle="stop" operator="between" showDropDown="false" showErrorMessage="false" showInputMessage="false" sqref="D213" type="list">
      <formula1>"ACTIVO,PASIVO,PERDIDA,GANANCIA"</formula1>
      <formula2>0</formula2>
    </dataValidation>
    <dataValidation allowBlank="true" errorStyle="stop" operator="between" showDropDown="false" showErrorMessage="false" showInputMessage="false" sqref="D214" type="list">
      <formula1>"ACTIVO,PASIVO,PERDIDA,GANANCIA"</formula1>
      <formula2>0</formula2>
    </dataValidation>
    <dataValidation allowBlank="true" errorStyle="stop" operator="between" showDropDown="false" showErrorMessage="false" showInputMessage="false" sqref="D215" type="list">
      <formula1>"ACTIVO,PASIVO,PERDIDA,GANANCIA"</formula1>
      <formula2>0</formula2>
    </dataValidation>
    <dataValidation allowBlank="true" errorStyle="stop" operator="between" showDropDown="false" showErrorMessage="false" showInputMessage="false" sqref="D216" type="list">
      <formula1>"ACTIVO,PASIVO,PERDIDA,GANANCIA"</formula1>
      <formula2>0</formula2>
    </dataValidation>
    <dataValidation allowBlank="true" errorStyle="stop" operator="between" showDropDown="false" showErrorMessage="false" showInputMessage="false" sqref="D217" type="list">
      <formula1>"ACTIVO,PASIVO,PERDIDA,GANANCIA"</formula1>
      <formula2>0</formula2>
    </dataValidation>
    <dataValidation allowBlank="true" errorStyle="stop" operator="between" showDropDown="false" showErrorMessage="false" showInputMessage="false" sqref="D218" type="list">
      <formula1>"ACTIVO,PASIVO,PERDIDA,GANANCIA"</formula1>
      <formula2>0</formula2>
    </dataValidation>
    <dataValidation allowBlank="true" errorStyle="stop" operator="between" showDropDown="false" showErrorMessage="false" showInputMessage="false" sqref="D219" type="list">
      <formula1>"ACTIVO,PASIVO,PERDIDA,GANANCIA"</formula1>
      <formula2>0</formula2>
    </dataValidation>
    <dataValidation allowBlank="true" errorStyle="stop" operator="between" showDropDown="false" showErrorMessage="false" showInputMessage="false" sqref="D220" type="list">
      <formula1>"ACTIVO,PASIVO,PERDIDA,GANANCIA"</formula1>
      <formula2>0</formula2>
    </dataValidation>
    <dataValidation allowBlank="true" errorStyle="stop" operator="between" showDropDown="false" showErrorMessage="false" showInputMessage="false" sqref="D221" type="list">
      <formula1>"ACTIVO,PASIVO,PERDIDA,GANANCIA"</formula1>
      <formula2>0</formula2>
    </dataValidation>
    <dataValidation allowBlank="true" errorStyle="stop" operator="between" showDropDown="false" showErrorMessage="false" showInputMessage="false" sqref="D222" type="list">
      <formula1>"ACTIVO,PASIVO,PERDIDA,GANANCIA"</formula1>
      <formula2>0</formula2>
    </dataValidation>
    <dataValidation allowBlank="true" errorStyle="stop" operator="between" showDropDown="false" showErrorMessage="false" showInputMessage="false" sqref="D223" type="list">
      <formula1>"ACTIVO,PASIVO,PERDIDA,GANANCIA"</formula1>
      <formula2>0</formula2>
    </dataValidation>
    <dataValidation allowBlank="true" errorStyle="stop" operator="between" showDropDown="false" showErrorMessage="false" showInputMessage="false" sqref="D224" type="list">
      <formula1>"ACTIVO,PASIVO,PERDIDA,GANANCIA"</formula1>
      <formula2>0</formula2>
    </dataValidation>
    <dataValidation allowBlank="true" errorStyle="stop" operator="between" showDropDown="false" showErrorMessage="false" showInputMessage="false" sqref="D225" type="list">
      <formula1>"ACTIVO,PASIVO,PERDIDA,GANANCIA"</formula1>
      <formula2>0</formula2>
    </dataValidation>
    <dataValidation allowBlank="true" errorStyle="stop" operator="between" showDropDown="false" showErrorMessage="false" showInputMessage="false" sqref="D226" type="list">
      <formula1>"ACTIVO,PASIVO,PERDIDA,GANANCIA"</formula1>
      <formula2>0</formula2>
    </dataValidation>
    <dataValidation allowBlank="true" errorStyle="stop" operator="between" showDropDown="false" showErrorMessage="false" showInputMessage="false" sqref="D227" type="list">
      <formula1>"ACTIVO,PASIVO,PERDIDA,GANANCIA"</formula1>
      <formula2>0</formula2>
    </dataValidation>
    <dataValidation allowBlank="true" errorStyle="stop" operator="between" showDropDown="false" showErrorMessage="false" showInputMessage="false" sqref="D228" type="list">
      <formula1>"ACTIVO,PASIVO,PERDIDA,GANANCIA"</formula1>
      <formula2>0</formula2>
    </dataValidation>
    <dataValidation allowBlank="true" errorStyle="stop" operator="between" showDropDown="false" showErrorMessage="false" showInputMessage="false" sqref="D229" type="list">
      <formula1>"ACTIVO,PASIVO,PERDIDA,GANANCIA"</formula1>
      <formula2>0</formula2>
    </dataValidation>
    <dataValidation allowBlank="true" errorStyle="stop" operator="between" showDropDown="false" showErrorMessage="false" showInputMessage="false" sqref="D230" type="list">
      <formula1>"ACTIVO,PASIVO,PERDIDA,GANANCIA"</formula1>
      <formula2>0</formula2>
    </dataValidation>
    <dataValidation allowBlank="true" errorStyle="stop" operator="between" showDropDown="false" showErrorMessage="false" showInputMessage="false" sqref="D231" type="list">
      <formula1>"ACTIVO,PASIVO,PERDIDA,GANANCIA"</formula1>
      <formula2>0</formula2>
    </dataValidation>
    <dataValidation allowBlank="true" errorStyle="stop" operator="between" showDropDown="false" showErrorMessage="false" showInputMessage="false" sqref="D232" type="list">
      <formula1>"ACTIVO,PASIVO,PERDIDA,GANANCIA"</formula1>
      <formula2>0</formula2>
    </dataValidation>
    <dataValidation allowBlank="true" errorStyle="stop" operator="between" showDropDown="false" showErrorMessage="false" showInputMessage="false" sqref="D233" type="list">
      <formula1>"ACTIVO,PASIVO,PERDIDA,GANANCIA"</formula1>
      <formula2>0</formula2>
    </dataValidation>
    <dataValidation allowBlank="true" errorStyle="stop" operator="between" showDropDown="false" showErrorMessage="false" showInputMessage="false" sqref="D234" type="list">
      <formula1>"ACTIVO,PASIVO,PERDIDA,GANANCIA"</formula1>
      <formula2>0</formula2>
    </dataValidation>
    <dataValidation allowBlank="true" errorStyle="stop" operator="between" showDropDown="false" showErrorMessage="false" showInputMessage="false" sqref="D235" type="list">
      <formula1>"ACTIVO,PASIVO,PERDIDA,GANANCIA"</formula1>
      <formula2>0</formula2>
    </dataValidation>
    <dataValidation allowBlank="true" errorStyle="stop" operator="between" showDropDown="false" showErrorMessage="false" showInputMessage="false" sqref="D236" type="list">
      <formula1>"ACTIVO,PASIVO,PERDIDA,GANANCIA"</formula1>
      <formula2>0</formula2>
    </dataValidation>
    <dataValidation allowBlank="true" errorStyle="stop" operator="between" showDropDown="false" showErrorMessage="false" showInputMessage="false" sqref="D237" type="list">
      <formula1>"ACTIVO,PASIVO,PERDIDA,GANANCIA"</formula1>
      <formula2>0</formula2>
    </dataValidation>
    <dataValidation allowBlank="true" errorStyle="stop" operator="between" showDropDown="false" showErrorMessage="false" showInputMessage="false" sqref="D238" type="list">
      <formula1>"ACTIVO,PASIVO,PERDIDA,GANANCIA"</formula1>
      <formula2>0</formula2>
    </dataValidation>
    <dataValidation allowBlank="true" errorStyle="stop" operator="between" showDropDown="false" showErrorMessage="false" showInputMessage="false" sqref="D239" type="list">
      <formula1>"ACTIVO,PASIVO,PERDIDA,GANANCIA"</formula1>
      <formula2>0</formula2>
    </dataValidation>
    <dataValidation allowBlank="true" errorStyle="stop" operator="between" showDropDown="false" showErrorMessage="false" showInputMessage="false" sqref="D240" type="list">
      <formula1>"ACTIVO,PASIVO,PERDIDA,GANANCIA"</formula1>
      <formula2>0</formula2>
    </dataValidation>
    <dataValidation allowBlank="true" errorStyle="stop" operator="between" showDropDown="false" showErrorMessage="false" showInputMessage="false" sqref="D241" type="list">
      <formula1>"ACTIVO,PASIVO,PERDIDA,GANANCIA"</formula1>
      <formula2>0</formula2>
    </dataValidation>
    <dataValidation allowBlank="true" errorStyle="stop" operator="between" showDropDown="false" showErrorMessage="false" showInputMessage="false" sqref="D242" type="list">
      <formula1>"ACTIVO,PASIVO,PERDIDA,GANANCIA"</formula1>
      <formula2>0</formula2>
    </dataValidation>
    <dataValidation allowBlank="true" errorStyle="stop" operator="between" showDropDown="false" showErrorMessage="false" showInputMessage="false" sqref="D243" type="list">
      <formula1>"ACTIVO,PASIVO,PERDIDA,GANANCIA"</formula1>
      <formula2>0</formula2>
    </dataValidation>
    <dataValidation allowBlank="true" errorStyle="stop" operator="between" showDropDown="false" showErrorMessage="false" showInputMessage="false" sqref="D244" type="list">
      <formula1>"ACTIVO,PASIVO,PERDIDA,GANANCIA"</formula1>
      <formula2>0</formula2>
    </dataValidation>
    <dataValidation allowBlank="true" errorStyle="stop" operator="between" showDropDown="false" showErrorMessage="false" showInputMessage="false" sqref="D245" type="list">
      <formula1>"ACTIVO,PASIVO,PERDIDA,GANANCIA"</formula1>
      <formula2>0</formula2>
    </dataValidation>
    <dataValidation allowBlank="true" errorStyle="stop" operator="between" showDropDown="false" showErrorMessage="false" showInputMessage="false" sqref="D246" type="list">
      <formula1>"ACTIVO,PASIVO,PERDIDA,GANANCIA"</formula1>
      <formula2>0</formula2>
    </dataValidation>
    <dataValidation allowBlank="true" errorStyle="stop" operator="between" showDropDown="false" showErrorMessage="false" showInputMessage="false" sqref="D247" type="list">
      <formula1>"ACTIVO,PASIVO,PERDIDA,GANANCIA"</formula1>
      <formula2>0</formula2>
    </dataValidation>
    <dataValidation allowBlank="true" errorStyle="stop" operator="between" showDropDown="false" showErrorMessage="false" showInputMessage="false" sqref="D248" type="list">
      <formula1>"ACTIVO,PASIVO,PERDIDA,GANANCIA"</formula1>
      <formula2>0</formula2>
    </dataValidation>
    <dataValidation allowBlank="true" errorStyle="stop" operator="between" showDropDown="false" showErrorMessage="false" showInputMessage="false" sqref="D249" type="list">
      <formula1>"ACTIVO,PASIVO,PERDIDA,GANANCIA"</formula1>
      <formula2>0</formula2>
    </dataValidation>
    <dataValidation allowBlank="true" errorStyle="stop" operator="between" showDropDown="false" showErrorMessage="false" showInputMessage="false" sqref="D250" type="list">
      <formula1>"ACTIVO,PASIVO,PERDIDA,GANANCIA"</formula1>
      <formula2>0</formula2>
    </dataValidation>
    <dataValidation allowBlank="true" errorStyle="stop" operator="between" showDropDown="false" showErrorMessage="false" showInputMessage="false" sqref="D251" type="list">
      <formula1>"ACTIVO,PASIVO,PERDIDA,GANANCIA"</formula1>
      <formula2>0</formula2>
    </dataValidation>
    <dataValidation allowBlank="true" errorStyle="stop" operator="between" showDropDown="false" showErrorMessage="false" showInputMessage="false" sqref="D252" type="list">
      <formula1>"ACTIVO,PASIVO,PERDIDA,GANANCIA"</formula1>
      <formula2>0</formula2>
    </dataValidation>
    <dataValidation allowBlank="true" errorStyle="stop" operator="between" showDropDown="false" showErrorMessage="false" showInputMessage="false" sqref="D253" type="list">
      <formula1>"ACTIVO,PASIVO,PERDIDA,GANANCIA"</formula1>
      <formula2>0</formula2>
    </dataValidation>
    <dataValidation allowBlank="true" errorStyle="stop" operator="between" showDropDown="false" showErrorMessage="false" showInputMessage="false" sqref="D254" type="list">
      <formula1>"ACTIVO,PASIVO,PERDIDA,GANANCIA"</formula1>
      <formula2>0</formula2>
    </dataValidation>
    <dataValidation allowBlank="true" errorStyle="stop" operator="between" showDropDown="false" showErrorMessage="false" showInputMessage="false" sqref="D255" type="list">
      <formula1>"ACTIVO,PASIVO,PERDIDA,GANANCIA"</formula1>
      <formula2>0</formula2>
    </dataValidation>
    <dataValidation allowBlank="true" errorStyle="stop" operator="between" showDropDown="false" showErrorMessage="false" showInputMessage="false" sqref="D256" type="list">
      <formula1>"ACTIVO,PASIVO,PERDIDA,GANANCIA"</formula1>
      <formula2>0</formula2>
    </dataValidation>
    <dataValidation allowBlank="true" errorStyle="stop" operator="between" showDropDown="false" showErrorMessage="false" showInputMessage="false" sqref="D257" type="list">
      <formula1>"ACTIVO,PASIVO,PERDIDA,GANANCIA"</formula1>
      <formula2>0</formula2>
    </dataValidation>
    <dataValidation allowBlank="true" errorStyle="stop" operator="between" showDropDown="false" showErrorMessage="false" showInputMessage="false" sqref="D258" type="list">
      <formula1>"ACTIVO,PASIVO,PERDIDA,GANANCIA"</formula1>
      <formula2>0</formula2>
    </dataValidation>
    <dataValidation allowBlank="true" errorStyle="stop" operator="between" showDropDown="false" showErrorMessage="false" showInputMessage="false" sqref="D259" type="list">
      <formula1>"ACTIVO,PASIVO,PERDIDA,GANANCIA"</formula1>
      <formula2>0</formula2>
    </dataValidation>
    <dataValidation allowBlank="true" errorStyle="stop" operator="between" showDropDown="false" showErrorMessage="false" showInputMessage="false" sqref="D260" type="list">
      <formula1>"ACTIVO,PASIVO,PERDIDA,GANANCIA"</formula1>
      <formula2>0</formula2>
    </dataValidation>
    <dataValidation allowBlank="true" errorStyle="stop" operator="between" showDropDown="false" showErrorMessage="false" showInputMessage="false" sqref="D261" type="list">
      <formula1>"ACTIVO,PASIVO,PERDIDA,GANANCIA"</formula1>
      <formula2>0</formula2>
    </dataValidation>
    <dataValidation allowBlank="true" errorStyle="stop" operator="between" showDropDown="false" showErrorMessage="false" showInputMessage="false" sqref="D262" type="list">
      <formula1>"ACTIVO,PASIVO,PERDIDA,GANANCIA"</formula1>
      <formula2>0</formula2>
    </dataValidation>
    <dataValidation allowBlank="true" errorStyle="stop" operator="between" showDropDown="false" showErrorMessage="false" showInputMessage="false" sqref="D263" type="list">
      <formula1>"ACTIVO,PASIVO,PERDIDA,GANANCIA"</formula1>
      <formula2>0</formula2>
    </dataValidation>
    <dataValidation allowBlank="true" errorStyle="stop" operator="between" showDropDown="false" showErrorMessage="false" showInputMessage="false" sqref="D264" type="list">
      <formula1>"ACTIVO,PASIVO,PERDIDA,GANANCIA"</formula1>
      <formula2>0</formula2>
    </dataValidation>
    <dataValidation allowBlank="true" errorStyle="stop" operator="between" showDropDown="false" showErrorMessage="false" showInputMessage="false" sqref="D265" type="list">
      <formula1>"ACTIVO,PASIVO,PERDIDA,GANANCIA"</formula1>
      <formula2>0</formula2>
    </dataValidation>
    <dataValidation allowBlank="true" errorStyle="stop" operator="between" showDropDown="false" showErrorMessage="false" showInputMessage="false" sqref="D266" type="list">
      <formula1>"ACTIVO,PASIVO,PERDIDA,GANANCIA"</formula1>
      <formula2>0</formula2>
    </dataValidation>
    <dataValidation allowBlank="true" errorStyle="stop" operator="between" showDropDown="false" showErrorMessage="false" showInputMessage="false" sqref="D267" type="list">
      <formula1>"ACTIVO,PASIVO,PERDIDA,GANANCIA"</formula1>
      <formula2>0</formula2>
    </dataValidation>
    <dataValidation allowBlank="true" errorStyle="stop" operator="between" showDropDown="false" showErrorMessage="false" showInputMessage="false" sqref="D268" type="list">
      <formula1>"ACTIVO,PASIVO,PERDIDA,GANANCIA"</formula1>
      <formula2>0</formula2>
    </dataValidation>
    <dataValidation allowBlank="true" errorStyle="stop" operator="between" showDropDown="false" showErrorMessage="false" showInputMessage="false" sqref="D269" type="list">
      <formula1>"ACTIVO,PASIVO,PERDIDA,GANANCIA"</formula1>
      <formula2>0</formula2>
    </dataValidation>
    <dataValidation allowBlank="true" errorStyle="stop" operator="between" showDropDown="false" showErrorMessage="false" showInputMessage="false" sqref="D270" type="list">
      <formula1>"ACTIVO,PASIVO,PERDIDA,GANANCIA"</formula1>
      <formula2>0</formula2>
    </dataValidation>
    <dataValidation allowBlank="true" errorStyle="stop" operator="between" showDropDown="false" showErrorMessage="false" showInputMessage="false" sqref="D271" type="list">
      <formula1>"ACTIVO,PASIVO,PERDIDA,GANANCIA"</formula1>
      <formula2>0</formula2>
    </dataValidation>
    <dataValidation allowBlank="true" errorStyle="stop" operator="between" showDropDown="false" showErrorMessage="false" showInputMessage="false" sqref="D272" type="list">
      <formula1>"ACTIVO,PASIVO,PERDIDA,GANANCIA"</formula1>
      <formula2>0</formula2>
    </dataValidation>
    <dataValidation allowBlank="true" errorStyle="stop" operator="between" showDropDown="false" showErrorMessage="false" showInputMessage="false" sqref="D273" type="list">
      <formula1>"ACTIVO,PASIVO,PERDIDA,GANANCIA"</formula1>
      <formula2>0</formula2>
    </dataValidation>
    <dataValidation allowBlank="true" errorStyle="stop" operator="between" showDropDown="false" showErrorMessage="false" showInputMessage="false" sqref="D274" type="list">
      <formula1>"ACTIVO,PASIVO,PERDIDA,GANANCIA"</formula1>
      <formula2>0</formula2>
    </dataValidation>
    <dataValidation allowBlank="true" errorStyle="stop" operator="between" showDropDown="false" showErrorMessage="false" showInputMessage="false" sqref="D275" type="list">
      <formula1>"ACTIVO,PASIVO,PERDIDA,GANANCIA"</formula1>
      <formula2>0</formula2>
    </dataValidation>
    <dataValidation allowBlank="true" errorStyle="stop" operator="between" showDropDown="false" showErrorMessage="false" showInputMessage="false" sqref="D276" type="list">
      <formula1>"ACTIVO,PASIVO,PERDIDA,GANANCIA"</formula1>
      <formula2>0</formula2>
    </dataValidation>
    <dataValidation allowBlank="true" errorStyle="stop" operator="between" showDropDown="false" showErrorMessage="false" showInputMessage="false" sqref="D277" type="list">
      <formula1>"ACTIVO,PASIVO,PERDIDA,GANANCIA"</formula1>
      <formula2>0</formula2>
    </dataValidation>
    <dataValidation allowBlank="true" errorStyle="stop" operator="between" showDropDown="false" showErrorMessage="false" showInputMessage="false" sqref="D278" type="list">
      <formula1>"ACTIVO,PASIVO,PERDIDA,GANANCIA"</formula1>
      <formula2>0</formula2>
    </dataValidation>
    <dataValidation allowBlank="true" errorStyle="stop" operator="between" showDropDown="false" showErrorMessage="false" showInputMessage="false" sqref="D279" type="list">
      <formula1>"ACTIVO,PASIVO,PERDIDA,GANANCIA"</formula1>
      <formula2>0</formula2>
    </dataValidation>
    <dataValidation allowBlank="true" errorStyle="stop" operator="between" showDropDown="false" showErrorMessage="false" showInputMessage="false" sqref="D280" type="list">
      <formula1>"ACTIVO,PASIVO,PERDIDA,GANANCIA"</formula1>
      <formula2>0</formula2>
    </dataValidation>
    <dataValidation allowBlank="true" errorStyle="stop" operator="between" showDropDown="false" showErrorMessage="false" showInputMessage="false" sqref="D281" type="list">
      <formula1>"ACTIVO,PASIVO,PERDIDA,GANANCIA"</formula1>
      <formula2>0</formula2>
    </dataValidation>
    <dataValidation allowBlank="true" errorStyle="stop" operator="between" showDropDown="false" showErrorMessage="false" showInputMessage="false" sqref="D282" type="list">
      <formula1>"ACTIVO,PASIVO,PERDIDA,GANANCIA"</formula1>
      <formula2>0</formula2>
    </dataValidation>
    <dataValidation allowBlank="true" errorStyle="stop" operator="between" showDropDown="false" showErrorMessage="false" showInputMessage="false" sqref="D283" type="list">
      <formula1>"ACTIVO,PASIVO,PERDIDA,GANANCIA"</formula1>
      <formula2>0</formula2>
    </dataValidation>
    <dataValidation allowBlank="true" errorStyle="stop" operator="between" showDropDown="false" showErrorMessage="false" showInputMessage="false" sqref="D284" type="list">
      <formula1>"ACTIVO,PASIVO,PERDIDA,GANANCIA"</formula1>
      <formula2>0</formula2>
    </dataValidation>
    <dataValidation allowBlank="true" errorStyle="stop" operator="between" showDropDown="false" showErrorMessage="false" showInputMessage="false" sqref="D285" type="list">
      <formula1>"ACTIVO,PASIVO,PERDIDA,GANANCIA"</formula1>
      <formula2>0</formula2>
    </dataValidation>
    <dataValidation allowBlank="true" errorStyle="stop" operator="between" showDropDown="false" showErrorMessage="false" showInputMessage="false" sqref="D286" type="list">
      <formula1>"ACTIVO,PASIVO,PERDIDA,GANANCIA"</formula1>
      <formula2>0</formula2>
    </dataValidation>
    <dataValidation allowBlank="true" errorStyle="stop" operator="between" showDropDown="false" showErrorMessage="false" showInputMessage="false" sqref="D287" type="list">
      <formula1>"ACTIVO,PASIVO,PERDIDA,GANANCIA"</formula1>
      <formula2>0</formula2>
    </dataValidation>
    <dataValidation allowBlank="true" errorStyle="stop" operator="between" showDropDown="false" showErrorMessage="false" showInputMessage="false" sqref="D288" type="list">
      <formula1>"ACTIVO,PASIVO,PERDIDA,GANANCIA"</formula1>
      <formula2>0</formula2>
    </dataValidation>
    <dataValidation allowBlank="true" errorStyle="stop" operator="between" showDropDown="false" showErrorMessage="false" showInputMessage="false" sqref="D289" type="list">
      <formula1>"ACTIVO,PASIVO,PERDIDA,GANANCIA"</formula1>
      <formula2>0</formula2>
    </dataValidation>
    <dataValidation allowBlank="true" errorStyle="stop" operator="between" showDropDown="false" showErrorMessage="false" showInputMessage="false" sqref="D290" type="list">
      <formula1>"ACTIVO,PASIVO,PERDIDA,GANANCIA"</formula1>
      <formula2>0</formula2>
    </dataValidation>
    <dataValidation allowBlank="true" errorStyle="stop" operator="between" showDropDown="false" showErrorMessage="false" showInputMessage="false" sqref="D291" type="list">
      <formula1>"ACTIVO,PASIVO,PERDIDA,GANANCIA"</formula1>
      <formula2>0</formula2>
    </dataValidation>
    <dataValidation allowBlank="true" errorStyle="stop" operator="between" showDropDown="false" showErrorMessage="false" showInputMessage="false" sqref="D292" type="list">
      <formula1>"ACTIVO,PASIVO,PERDIDA,GANANCIA"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A1:K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2" min="1" style="1" width="10"/>
    <col collapsed="false" customWidth="true" hidden="false" outlineLevel="0" max="3" min="3" style="1" width="12"/>
    <col collapsed="false" customWidth="true" hidden="false" outlineLevel="0" max="4" min="4" style="1" width="7"/>
    <col collapsed="false" customWidth="true" hidden="false" outlineLevel="0" max="5" min="5" style="1" width="12"/>
    <col collapsed="false" customWidth="true" hidden="false" outlineLevel="0" max="6" min="6" style="1" width="28"/>
    <col collapsed="false" customWidth="true" hidden="false" outlineLevel="0" max="7" min="7" style="1" width="32"/>
    <col collapsed="false" customWidth="true" hidden="false" outlineLevel="0" max="9" min="8" style="1" width="14"/>
    <col collapsed="false" customWidth="true" hidden="false" outlineLevel="0" max="10" min="10" style="1" width="10"/>
    <col collapsed="false" customWidth="true" hidden="false" outlineLevel="0" max="11" min="11" style="1" width="14"/>
  </cols>
  <sheetData>
    <row r="1" customFormat="false" ht="37.5" hidden="false" customHeight="true" outlineLevel="0" collapsed="false">
      <c r="A1" s="48" t="s">
        <v>527</v>
      </c>
      <c r="B1" s="48"/>
      <c r="C1" s="48"/>
      <c r="D1" s="48"/>
      <c r="E1" s="48"/>
      <c r="F1" s="48"/>
      <c r="G1" s="48"/>
      <c r="H1" s="48"/>
      <c r="I1" s="48"/>
      <c r="J1" s="48"/>
      <c r="K1" s="48"/>
    </row>
    <row r="2" customFormat="false" ht="31.5" hidden="false" customHeight="true" outlineLevel="0" collapsed="false">
      <c r="A2" s="49" t="s">
        <v>528</v>
      </c>
      <c r="B2" s="49"/>
      <c r="C2" s="49"/>
      <c r="D2" s="49"/>
      <c r="E2" s="49"/>
      <c r="F2" s="49"/>
      <c r="G2" s="49"/>
      <c r="H2" s="49"/>
      <c r="I2" s="49"/>
      <c r="J2" s="49"/>
      <c r="K2" s="49"/>
    </row>
    <row r="3" customFormat="false" ht="21.75" hidden="false" customHeight="true" outlineLevel="0" collapsed="false">
      <c r="A3" s="70" t="s">
        <v>529</v>
      </c>
      <c r="B3" s="70"/>
      <c r="C3" s="70"/>
      <c r="D3" s="70"/>
      <c r="E3" s="70"/>
      <c r="F3" s="70"/>
      <c r="G3" s="70"/>
      <c r="H3" s="70"/>
      <c r="I3" s="70"/>
      <c r="J3" s="70"/>
      <c r="K3" s="70"/>
    </row>
    <row r="4" customFormat="false" ht="21.75" hidden="false" customHeight="true" outlineLevel="0" collapsed="false">
      <c r="A4" s="65" t="s">
        <v>530</v>
      </c>
      <c r="B4" s="65" t="s">
        <v>531</v>
      </c>
      <c r="C4" s="65" t="s">
        <v>532</v>
      </c>
      <c r="D4" s="65" t="s">
        <v>533</v>
      </c>
      <c r="E4" s="65" t="s">
        <v>534</v>
      </c>
      <c r="F4" s="65" t="s">
        <v>424</v>
      </c>
      <c r="G4" s="65" t="s">
        <v>535</v>
      </c>
      <c r="H4" s="65" t="s">
        <v>536</v>
      </c>
      <c r="I4" s="65" t="s">
        <v>537</v>
      </c>
      <c r="J4" s="65" t="s">
        <v>226</v>
      </c>
      <c r="K4" s="65" t="s">
        <v>538</v>
      </c>
    </row>
    <row r="5" customFormat="false" ht="25.5" hidden="false" customHeight="true" outlineLevel="0" collapsed="false">
      <c r="A5" s="57"/>
      <c r="B5" s="57"/>
      <c r="C5" s="57"/>
      <c r="D5" s="57"/>
      <c r="E5" s="57"/>
      <c r="F5" s="71" t="n">
        <f aca="false">IFERROR(INDEX(Cuentas!$C$8:$C$500,MATCH(A5&amp;"|"&amp;E5,Cuentas!$A$8:$A$500&amp;"|"&amp;Cuentas!$B$8:$B$500,0)),"")</f>
        <v>0</v>
      </c>
      <c r="G5" s="57"/>
      <c r="H5" s="57"/>
      <c r="I5" s="57"/>
      <c r="J5" s="57"/>
      <c r="K5" s="57"/>
    </row>
    <row r="6" customFormat="false" ht="21.75" hidden="false" customHeight="true" outlineLevel="0" collapsed="false">
      <c r="A6" s="72" t="s">
        <v>539</v>
      </c>
      <c r="B6" s="72"/>
      <c r="C6" s="72"/>
      <c r="D6" s="72"/>
      <c r="E6" s="72"/>
      <c r="F6" s="72"/>
      <c r="G6" s="72"/>
      <c r="H6" s="73" t="n">
        <f aca="false">SUMIF($A$10:$A$5000,A5,$H$10:$H$5000)</f>
        <v>0</v>
      </c>
      <c r="I6" s="73" t="n">
        <f aca="false">SUMIF($A$10:$A$5000,A5,$I$10:$I$5000)</f>
        <v>0</v>
      </c>
      <c r="J6" s="74" t="str">
        <f aca="false">IF(H6=I6,"✓ CUADRADO","✗ DESCUADRADO")</f>
        <v>✓ CUADRADO</v>
      </c>
    </row>
    <row r="7" customFormat="false" ht="6" hidden="false" customHeight="true" outlineLevel="0" collapsed="false"/>
    <row r="8" customFormat="false" ht="21.75" hidden="false" customHeight="true" outlineLevel="0" collapsed="false">
      <c r="A8" s="75" t="s">
        <v>540</v>
      </c>
      <c r="B8" s="75"/>
      <c r="C8" s="75"/>
      <c r="D8" s="75"/>
      <c r="E8" s="75"/>
      <c r="F8" s="75"/>
      <c r="G8" s="75"/>
      <c r="H8" s="75"/>
      <c r="I8" s="75"/>
      <c r="J8" s="75"/>
      <c r="K8" s="75"/>
    </row>
    <row r="9" customFormat="false" ht="21.75" hidden="false" customHeight="true" outlineLevel="0" collapsed="false">
      <c r="A9" s="76" t="s">
        <v>530</v>
      </c>
      <c r="B9" s="76" t="s">
        <v>531</v>
      </c>
      <c r="C9" s="76" t="s">
        <v>532</v>
      </c>
      <c r="D9" s="76" t="s">
        <v>541</v>
      </c>
      <c r="E9" s="76" t="s">
        <v>542</v>
      </c>
      <c r="F9" s="76" t="s">
        <v>424</v>
      </c>
      <c r="G9" s="76" t="s">
        <v>543</v>
      </c>
      <c r="H9" s="76" t="s">
        <v>536</v>
      </c>
      <c r="I9" s="76" t="s">
        <v>537</v>
      </c>
      <c r="J9" s="76" t="s">
        <v>226</v>
      </c>
      <c r="K9" s="76" t="s">
        <v>538</v>
      </c>
    </row>
    <row r="10" customFormat="false" ht="18" hidden="false" customHeight="true" outlineLevel="0" collapsed="false">
      <c r="A10" s="55"/>
      <c r="B10" s="67"/>
      <c r="C10" s="77"/>
      <c r="D10" s="67" t="str">
        <f aca="false">IF(C10="","",MONTH(C10))</f>
        <v/>
      </c>
      <c r="E10" s="55"/>
      <c r="F10" s="55" t="n">
        <f aca="false">IFERROR(INDEX(Cuentas!$C$8:$C$500,MATCH(A10&amp;"|"&amp;E10,Cuentas!$A$8:$A$500&amp;"|"&amp;Cuentas!$B$8:$B$500,0)),"")</f>
        <v>0</v>
      </c>
      <c r="G10" s="78" t="s">
        <v>544</v>
      </c>
      <c r="H10" s="79"/>
      <c r="I10" s="79"/>
      <c r="J10" s="55"/>
      <c r="K10" s="55"/>
    </row>
    <row r="11" customFormat="false" ht="18" hidden="false" customHeight="true" outlineLevel="0" collapsed="false">
      <c r="A11" s="54"/>
      <c r="B11" s="69"/>
      <c r="C11" s="80"/>
      <c r="D11" s="69" t="str">
        <f aca="false">IF(C11="","",MONTH(C11))</f>
        <v/>
      </c>
      <c r="E11" s="54"/>
      <c r="F11" s="54" t="n">
        <f aca="false">IFERROR(INDEX(Cuentas!$C$8:$C$500,MATCH(A11&amp;"|"&amp;E11,Cuentas!$A$8:$A$500&amp;"|"&amp;Cuentas!$B$8:$B$500,0)),"")</f>
        <v>0</v>
      </c>
      <c r="G11" s="54"/>
      <c r="H11" s="81"/>
      <c r="I11" s="81"/>
      <c r="J11" s="54"/>
      <c r="K11" s="54"/>
    </row>
    <row r="12" customFormat="false" ht="18" hidden="false" customHeight="true" outlineLevel="0" collapsed="false">
      <c r="A12" s="55"/>
      <c r="B12" s="67"/>
      <c r="C12" s="77"/>
      <c r="D12" s="67" t="str">
        <f aca="false">IF(C12="","",MONTH(C12))</f>
        <v/>
      </c>
      <c r="E12" s="55"/>
      <c r="F12" s="55" t="n">
        <f aca="false">IFERROR(INDEX(Cuentas!$C$8:$C$500,MATCH(A12&amp;"|"&amp;E12,Cuentas!$A$8:$A$500&amp;"|"&amp;Cuentas!$B$8:$B$500,0)),"")</f>
        <v>0</v>
      </c>
      <c r="G12" s="55"/>
      <c r="H12" s="79"/>
      <c r="I12" s="79"/>
      <c r="J12" s="55"/>
      <c r="K12" s="55"/>
    </row>
    <row r="13" customFormat="false" ht="18" hidden="false" customHeight="true" outlineLevel="0" collapsed="false">
      <c r="A13" s="54"/>
      <c r="B13" s="69"/>
      <c r="C13" s="80"/>
      <c r="D13" s="69" t="str">
        <f aca="false">IF(C13="","",MONTH(C13))</f>
        <v/>
      </c>
      <c r="E13" s="54"/>
      <c r="F13" s="54" t="n">
        <f aca="false">IFERROR(INDEX(Cuentas!$C$8:$C$500,MATCH(A13&amp;"|"&amp;E13,Cuentas!$A$8:$A$500&amp;"|"&amp;Cuentas!$B$8:$B$500,0)),"")</f>
        <v>0</v>
      </c>
      <c r="G13" s="54"/>
      <c r="H13" s="81"/>
      <c r="I13" s="81"/>
      <c r="J13" s="54"/>
      <c r="K13" s="54"/>
    </row>
    <row r="14" customFormat="false" ht="18" hidden="false" customHeight="true" outlineLevel="0" collapsed="false">
      <c r="A14" s="55"/>
      <c r="B14" s="67"/>
      <c r="C14" s="77"/>
      <c r="D14" s="67" t="str">
        <f aca="false">IF(C14="","",MONTH(C14))</f>
        <v/>
      </c>
      <c r="E14" s="55"/>
      <c r="F14" s="55" t="n">
        <f aca="false">IFERROR(INDEX(Cuentas!$C$8:$C$500,MATCH(A14&amp;"|"&amp;E14,Cuentas!$A$8:$A$500&amp;"|"&amp;Cuentas!$B$8:$B$500,0)),"")</f>
        <v>0</v>
      </c>
      <c r="G14" s="55"/>
      <c r="H14" s="79"/>
      <c r="I14" s="79"/>
      <c r="J14" s="55"/>
      <c r="K14" s="55"/>
    </row>
    <row r="15" customFormat="false" ht="18" hidden="false" customHeight="true" outlineLevel="0" collapsed="false">
      <c r="A15" s="54"/>
      <c r="B15" s="69"/>
      <c r="C15" s="80"/>
      <c r="D15" s="69" t="str">
        <f aca="false">IF(C15="","",MONTH(C15))</f>
        <v/>
      </c>
      <c r="E15" s="54"/>
      <c r="F15" s="54" t="n">
        <f aca="false">IFERROR(INDEX(Cuentas!$C$8:$C$500,MATCH(A15&amp;"|"&amp;E15,Cuentas!$A$8:$A$500&amp;"|"&amp;Cuentas!$B$8:$B$500,0)),"")</f>
        <v>0</v>
      </c>
      <c r="G15" s="54"/>
      <c r="H15" s="81"/>
      <c r="I15" s="81"/>
      <c r="J15" s="54"/>
      <c r="K15" s="54"/>
    </row>
    <row r="16" customFormat="false" ht="18" hidden="false" customHeight="true" outlineLevel="0" collapsed="false">
      <c r="A16" s="55"/>
      <c r="B16" s="67"/>
      <c r="C16" s="77"/>
      <c r="D16" s="67" t="str">
        <f aca="false">IF(C16="","",MONTH(C16))</f>
        <v/>
      </c>
      <c r="E16" s="55"/>
      <c r="F16" s="55" t="n">
        <f aca="false">IFERROR(INDEX(Cuentas!$C$8:$C$500,MATCH(A16&amp;"|"&amp;E16,Cuentas!$A$8:$A$500&amp;"|"&amp;Cuentas!$B$8:$B$500,0)),"")</f>
        <v>0</v>
      </c>
      <c r="G16" s="55"/>
      <c r="H16" s="79"/>
      <c r="I16" s="79"/>
      <c r="J16" s="55"/>
      <c r="K16" s="55"/>
    </row>
    <row r="17" customFormat="false" ht="18" hidden="false" customHeight="true" outlineLevel="0" collapsed="false">
      <c r="A17" s="54"/>
      <c r="B17" s="69"/>
      <c r="C17" s="80"/>
      <c r="D17" s="69" t="str">
        <f aca="false">IF(C17="","",MONTH(C17))</f>
        <v/>
      </c>
      <c r="E17" s="54"/>
      <c r="F17" s="54" t="n">
        <f aca="false">IFERROR(INDEX(Cuentas!$C$8:$C$500,MATCH(A17&amp;"|"&amp;E17,Cuentas!$A$8:$A$500&amp;"|"&amp;Cuentas!$B$8:$B$500,0)),"")</f>
        <v>0</v>
      </c>
      <c r="G17" s="54"/>
      <c r="H17" s="81"/>
      <c r="I17" s="81"/>
      <c r="J17" s="54"/>
      <c r="K17" s="54"/>
    </row>
    <row r="18" customFormat="false" ht="18" hidden="false" customHeight="true" outlineLevel="0" collapsed="false">
      <c r="A18" s="55"/>
      <c r="B18" s="67"/>
      <c r="C18" s="77"/>
      <c r="D18" s="67" t="str">
        <f aca="false">IF(C18="","",MONTH(C18))</f>
        <v/>
      </c>
      <c r="E18" s="55"/>
      <c r="F18" s="55" t="n">
        <f aca="false">IFERROR(INDEX(Cuentas!$C$8:$C$500,MATCH(A18&amp;"|"&amp;E18,Cuentas!$A$8:$A$500&amp;"|"&amp;Cuentas!$B$8:$B$500,0)),"")</f>
        <v>0</v>
      </c>
      <c r="G18" s="55"/>
      <c r="H18" s="79"/>
      <c r="I18" s="79"/>
      <c r="J18" s="55"/>
      <c r="K18" s="55"/>
    </row>
    <row r="19" customFormat="false" ht="18" hidden="false" customHeight="true" outlineLevel="0" collapsed="false">
      <c r="A19" s="54"/>
      <c r="B19" s="54"/>
      <c r="C19" s="80"/>
      <c r="D19" s="69" t="str">
        <f aca="false">IF(C19="","",MONTH(C19))</f>
        <v/>
      </c>
      <c r="E19" s="54"/>
      <c r="F19" s="54" t="n">
        <f aca="false">IFERROR(INDEX(Cuentas!$C$8:$C$500,MATCH(A19&amp;"|"&amp;E19,Cuentas!$A$8:$A$500&amp;"|"&amp;Cuentas!$B$8:$B$500,0)),"")</f>
        <v>0</v>
      </c>
      <c r="G19" s="54"/>
      <c r="H19" s="82"/>
      <c r="I19" s="82"/>
      <c r="J19" s="54"/>
      <c r="K19" s="54"/>
    </row>
    <row r="20" customFormat="false" ht="18" hidden="false" customHeight="true" outlineLevel="0" collapsed="false">
      <c r="A20" s="55"/>
      <c r="B20" s="55"/>
      <c r="C20" s="77"/>
      <c r="D20" s="67" t="str">
        <f aca="false">IF(C20="","",MONTH(C20))</f>
        <v/>
      </c>
      <c r="E20" s="55"/>
      <c r="F20" s="55" t="n">
        <f aca="false">IFERROR(INDEX(Cuentas!$C$8:$C$500,MATCH(A20&amp;"|"&amp;E20,Cuentas!$A$8:$A$500&amp;"|"&amp;Cuentas!$B$8:$B$500,0)),"")</f>
        <v>0</v>
      </c>
      <c r="G20" s="55"/>
      <c r="H20" s="83"/>
      <c r="I20" s="83"/>
      <c r="J20" s="55"/>
      <c r="K20" s="55"/>
    </row>
    <row r="21" customFormat="false" ht="18" hidden="false" customHeight="true" outlineLevel="0" collapsed="false">
      <c r="A21" s="54"/>
      <c r="B21" s="54"/>
      <c r="C21" s="80"/>
      <c r="D21" s="69" t="str">
        <f aca="false">IF(C21="","",MONTH(C21))</f>
        <v/>
      </c>
      <c r="E21" s="54"/>
      <c r="F21" s="54" t="n">
        <f aca="false">IFERROR(INDEX(Cuentas!$C$8:$C$500,MATCH(A21&amp;"|"&amp;E21,Cuentas!$A$8:$A$500&amp;"|"&amp;Cuentas!$B$8:$B$500,0)),"")</f>
        <v>0</v>
      </c>
      <c r="G21" s="54"/>
      <c r="H21" s="82"/>
      <c r="I21" s="82"/>
      <c r="J21" s="54"/>
      <c r="K21" s="54"/>
    </row>
    <row r="22" customFormat="false" ht="18" hidden="false" customHeight="true" outlineLevel="0" collapsed="false">
      <c r="A22" s="55"/>
      <c r="B22" s="55"/>
      <c r="C22" s="77"/>
      <c r="D22" s="67" t="str">
        <f aca="false">IF(C22="","",MONTH(C22))</f>
        <v/>
      </c>
      <c r="E22" s="55"/>
      <c r="F22" s="55" t="n">
        <f aca="false">IFERROR(INDEX(Cuentas!$C$8:$C$500,MATCH(A22&amp;"|"&amp;E22,Cuentas!$A$8:$A$500&amp;"|"&amp;Cuentas!$B$8:$B$500,0)),"")</f>
        <v>0</v>
      </c>
      <c r="G22" s="55"/>
      <c r="H22" s="83"/>
      <c r="I22" s="83"/>
      <c r="J22" s="55"/>
      <c r="K22" s="55"/>
    </row>
    <row r="23" customFormat="false" ht="18" hidden="false" customHeight="true" outlineLevel="0" collapsed="false">
      <c r="A23" s="54"/>
      <c r="B23" s="54"/>
      <c r="C23" s="80"/>
      <c r="D23" s="69" t="str">
        <f aca="false">IF(C23="","",MONTH(C23))</f>
        <v/>
      </c>
      <c r="E23" s="54"/>
      <c r="F23" s="54" t="n">
        <f aca="false">IFERROR(INDEX(Cuentas!$C$8:$C$500,MATCH(A23&amp;"|"&amp;E23,Cuentas!$A$8:$A$500&amp;"|"&amp;Cuentas!$B$8:$B$500,0)),"")</f>
        <v>0</v>
      </c>
      <c r="G23" s="54"/>
      <c r="H23" s="82"/>
      <c r="I23" s="82"/>
      <c r="J23" s="54"/>
      <c r="K23" s="54"/>
    </row>
    <row r="24" customFormat="false" ht="18" hidden="false" customHeight="true" outlineLevel="0" collapsed="false">
      <c r="A24" s="55"/>
      <c r="B24" s="55"/>
      <c r="C24" s="77"/>
      <c r="D24" s="67" t="str">
        <f aca="false">IF(C24="","",MONTH(C24))</f>
        <v/>
      </c>
      <c r="E24" s="55"/>
      <c r="F24" s="55" t="n">
        <f aca="false">IFERROR(INDEX(Cuentas!$C$8:$C$500,MATCH(A24&amp;"|"&amp;E24,Cuentas!$A$8:$A$500&amp;"|"&amp;Cuentas!$B$8:$B$500,0)),"")</f>
        <v>0</v>
      </c>
      <c r="G24" s="55"/>
      <c r="H24" s="83"/>
      <c r="I24" s="83"/>
      <c r="J24" s="55"/>
      <c r="K24" s="55"/>
    </row>
    <row r="25" customFormat="false" ht="18" hidden="false" customHeight="true" outlineLevel="0" collapsed="false">
      <c r="A25" s="54"/>
      <c r="B25" s="54"/>
      <c r="C25" s="80"/>
      <c r="D25" s="69" t="str">
        <f aca="false">IF(C25="","",MONTH(C25))</f>
        <v/>
      </c>
      <c r="E25" s="54"/>
      <c r="F25" s="54" t="n">
        <f aca="false">IFERROR(INDEX(Cuentas!$C$8:$C$500,MATCH(A25&amp;"|"&amp;E25,Cuentas!$A$8:$A$500&amp;"|"&amp;Cuentas!$B$8:$B$500,0)),"")</f>
        <v>0</v>
      </c>
      <c r="G25" s="54"/>
      <c r="H25" s="82"/>
      <c r="I25" s="82"/>
      <c r="J25" s="54"/>
      <c r="K25" s="54"/>
    </row>
    <row r="26" customFormat="false" ht="18" hidden="false" customHeight="true" outlineLevel="0" collapsed="false">
      <c r="A26" s="55"/>
      <c r="B26" s="55"/>
      <c r="C26" s="77"/>
      <c r="D26" s="67" t="str">
        <f aca="false">IF(C26="","",MONTH(C26))</f>
        <v/>
      </c>
      <c r="E26" s="55"/>
      <c r="F26" s="55" t="n">
        <f aca="false">IFERROR(INDEX(Cuentas!$C$8:$C$500,MATCH(A26&amp;"|"&amp;E26,Cuentas!$A$8:$A$500&amp;"|"&amp;Cuentas!$B$8:$B$500,0)),"")</f>
        <v>0</v>
      </c>
      <c r="G26" s="55"/>
      <c r="H26" s="83"/>
      <c r="I26" s="83"/>
      <c r="J26" s="55"/>
      <c r="K26" s="55"/>
    </row>
    <row r="27" customFormat="false" ht="18" hidden="false" customHeight="true" outlineLevel="0" collapsed="false">
      <c r="A27" s="54"/>
      <c r="B27" s="54"/>
      <c r="C27" s="80"/>
      <c r="D27" s="69" t="str">
        <f aca="false">IF(C27="","",MONTH(C27))</f>
        <v/>
      </c>
      <c r="E27" s="54"/>
      <c r="F27" s="54" t="n">
        <f aca="false">IFERROR(INDEX(Cuentas!$C$8:$C$500,MATCH(A27&amp;"|"&amp;E27,Cuentas!$A$8:$A$500&amp;"|"&amp;Cuentas!$B$8:$B$500,0)),"")</f>
        <v>0</v>
      </c>
      <c r="G27" s="54"/>
      <c r="H27" s="82"/>
      <c r="I27" s="82"/>
      <c r="J27" s="54"/>
      <c r="K27" s="54"/>
    </row>
    <row r="28" customFormat="false" ht="18" hidden="false" customHeight="true" outlineLevel="0" collapsed="false">
      <c r="A28" s="55"/>
      <c r="B28" s="55"/>
      <c r="C28" s="77"/>
      <c r="D28" s="67" t="str">
        <f aca="false">IF(C28="","",MONTH(C28))</f>
        <v/>
      </c>
      <c r="E28" s="55"/>
      <c r="F28" s="55" t="n">
        <f aca="false">IFERROR(INDEX(Cuentas!$C$8:$C$500,MATCH(A28&amp;"|"&amp;E28,Cuentas!$A$8:$A$500&amp;"|"&amp;Cuentas!$B$8:$B$500,0)),"")</f>
        <v>0</v>
      </c>
      <c r="G28" s="55"/>
      <c r="H28" s="83"/>
      <c r="I28" s="83"/>
      <c r="J28" s="55"/>
      <c r="K28" s="55"/>
    </row>
    <row r="29" customFormat="false" ht="18" hidden="false" customHeight="true" outlineLevel="0" collapsed="false">
      <c r="A29" s="54"/>
      <c r="B29" s="54"/>
      <c r="C29" s="80"/>
      <c r="D29" s="69" t="str">
        <f aca="false">IF(C29="","",MONTH(C29))</f>
        <v/>
      </c>
      <c r="E29" s="54"/>
      <c r="F29" s="54" t="n">
        <f aca="false">IFERROR(INDEX(Cuentas!$C$8:$C$500,MATCH(A29&amp;"|"&amp;E29,Cuentas!$A$8:$A$500&amp;"|"&amp;Cuentas!$B$8:$B$500,0)),"")</f>
        <v>0</v>
      </c>
      <c r="G29" s="54"/>
      <c r="H29" s="82"/>
      <c r="I29" s="82"/>
      <c r="J29" s="54"/>
      <c r="K29" s="54"/>
    </row>
    <row r="30" customFormat="false" ht="18" hidden="false" customHeight="true" outlineLevel="0" collapsed="false">
      <c r="A30" s="55"/>
      <c r="B30" s="55"/>
      <c r="C30" s="77"/>
      <c r="D30" s="67" t="str">
        <f aca="false">IF(C30="","",MONTH(C30))</f>
        <v/>
      </c>
      <c r="E30" s="55"/>
      <c r="F30" s="55" t="n">
        <f aca="false">IFERROR(INDEX(Cuentas!$C$8:$C$500,MATCH(A30&amp;"|"&amp;E30,Cuentas!$A$8:$A$500&amp;"|"&amp;Cuentas!$B$8:$B$500,0)),"")</f>
        <v>0</v>
      </c>
      <c r="G30" s="55"/>
      <c r="H30" s="83"/>
      <c r="I30" s="83"/>
      <c r="J30" s="55"/>
      <c r="K30" s="55"/>
    </row>
    <row r="31" customFormat="false" ht="18" hidden="false" customHeight="true" outlineLevel="0" collapsed="false">
      <c r="A31" s="54"/>
      <c r="B31" s="54"/>
      <c r="C31" s="80"/>
      <c r="D31" s="69" t="str">
        <f aca="false">IF(C31="","",MONTH(C31))</f>
        <v/>
      </c>
      <c r="E31" s="54"/>
      <c r="F31" s="54" t="n">
        <f aca="false">IFERROR(INDEX(Cuentas!$C$8:$C$500,MATCH(A31&amp;"|"&amp;E31,Cuentas!$A$8:$A$500&amp;"|"&amp;Cuentas!$B$8:$B$500,0)),"")</f>
        <v>0</v>
      </c>
      <c r="G31" s="54"/>
      <c r="H31" s="82"/>
      <c r="I31" s="82"/>
      <c r="J31" s="54"/>
      <c r="K31" s="54"/>
    </row>
    <row r="32" customFormat="false" ht="18" hidden="false" customHeight="true" outlineLevel="0" collapsed="false">
      <c r="A32" s="55"/>
      <c r="B32" s="55"/>
      <c r="C32" s="77"/>
      <c r="D32" s="67" t="str">
        <f aca="false">IF(C32="","",MONTH(C32))</f>
        <v/>
      </c>
      <c r="E32" s="55"/>
      <c r="F32" s="55" t="n">
        <f aca="false">IFERROR(INDEX(Cuentas!$C$8:$C$500,MATCH(A32&amp;"|"&amp;E32,Cuentas!$A$8:$A$500&amp;"|"&amp;Cuentas!$B$8:$B$500,0)),"")</f>
        <v>0</v>
      </c>
      <c r="G32" s="55"/>
      <c r="H32" s="83"/>
      <c r="I32" s="83"/>
      <c r="J32" s="55"/>
      <c r="K32" s="55"/>
    </row>
    <row r="33" customFormat="false" ht="18" hidden="false" customHeight="true" outlineLevel="0" collapsed="false">
      <c r="A33" s="54"/>
      <c r="B33" s="54"/>
      <c r="C33" s="80"/>
      <c r="D33" s="69" t="str">
        <f aca="false">IF(C33="","",MONTH(C33))</f>
        <v/>
      </c>
      <c r="E33" s="54"/>
      <c r="F33" s="54" t="n">
        <f aca="false">IFERROR(INDEX(Cuentas!$C$8:$C$500,MATCH(A33&amp;"|"&amp;E33,Cuentas!$A$8:$A$500&amp;"|"&amp;Cuentas!$B$8:$B$500,0)),"")</f>
        <v>0</v>
      </c>
      <c r="G33" s="54"/>
      <c r="H33" s="82"/>
      <c r="I33" s="82"/>
      <c r="J33" s="54"/>
      <c r="K33" s="54"/>
    </row>
    <row r="34" customFormat="false" ht="18" hidden="false" customHeight="true" outlineLevel="0" collapsed="false">
      <c r="A34" s="55"/>
      <c r="B34" s="55"/>
      <c r="C34" s="77"/>
      <c r="D34" s="67" t="str">
        <f aca="false">IF(C34="","",MONTH(C34))</f>
        <v/>
      </c>
      <c r="E34" s="55"/>
      <c r="F34" s="55" t="n">
        <f aca="false">IFERROR(INDEX(Cuentas!$C$8:$C$500,MATCH(A34&amp;"|"&amp;E34,Cuentas!$A$8:$A$500&amp;"|"&amp;Cuentas!$B$8:$B$500,0)),"")</f>
        <v>0</v>
      </c>
      <c r="G34" s="55"/>
      <c r="H34" s="83"/>
      <c r="I34" s="83"/>
      <c r="J34" s="55"/>
      <c r="K34" s="55"/>
    </row>
    <row r="35" customFormat="false" ht="18" hidden="false" customHeight="true" outlineLevel="0" collapsed="false">
      <c r="A35" s="54"/>
      <c r="B35" s="54"/>
      <c r="C35" s="80"/>
      <c r="D35" s="69" t="str">
        <f aca="false">IF(C35="","",MONTH(C35))</f>
        <v/>
      </c>
      <c r="E35" s="54"/>
      <c r="F35" s="54" t="n">
        <f aca="false">IFERROR(INDEX(Cuentas!$C$8:$C$500,MATCH(A35&amp;"|"&amp;E35,Cuentas!$A$8:$A$500&amp;"|"&amp;Cuentas!$B$8:$B$500,0)),"")</f>
        <v>0</v>
      </c>
      <c r="G35" s="54"/>
      <c r="H35" s="82"/>
      <c r="I35" s="82"/>
      <c r="J35" s="54"/>
      <c r="K35" s="54"/>
    </row>
    <row r="36" customFormat="false" ht="18" hidden="false" customHeight="true" outlineLevel="0" collapsed="false">
      <c r="A36" s="55"/>
      <c r="B36" s="55"/>
      <c r="C36" s="77"/>
      <c r="D36" s="67" t="str">
        <f aca="false">IF(C36="","",MONTH(C36))</f>
        <v/>
      </c>
      <c r="E36" s="55"/>
      <c r="F36" s="55" t="n">
        <f aca="false">IFERROR(INDEX(Cuentas!$C$8:$C$500,MATCH(A36&amp;"|"&amp;E36,Cuentas!$A$8:$A$500&amp;"|"&amp;Cuentas!$B$8:$B$500,0)),"")</f>
        <v>0</v>
      </c>
      <c r="G36" s="55"/>
      <c r="H36" s="83"/>
      <c r="I36" s="83"/>
      <c r="J36" s="55"/>
      <c r="K36" s="55"/>
    </row>
    <row r="37" customFormat="false" ht="18" hidden="false" customHeight="true" outlineLevel="0" collapsed="false">
      <c r="A37" s="54"/>
      <c r="B37" s="54"/>
      <c r="C37" s="80"/>
      <c r="D37" s="69" t="str">
        <f aca="false">IF(C37="","",MONTH(C37))</f>
        <v/>
      </c>
      <c r="E37" s="54"/>
      <c r="F37" s="54" t="n">
        <f aca="false">IFERROR(INDEX(Cuentas!$C$8:$C$500,MATCH(A37&amp;"|"&amp;E37,Cuentas!$A$8:$A$500&amp;"|"&amp;Cuentas!$B$8:$B$500,0)),"")</f>
        <v>0</v>
      </c>
      <c r="G37" s="54"/>
      <c r="H37" s="82"/>
      <c r="I37" s="82"/>
      <c r="J37" s="54"/>
      <c r="K37" s="54"/>
    </row>
    <row r="38" customFormat="false" ht="18" hidden="false" customHeight="true" outlineLevel="0" collapsed="false">
      <c r="A38" s="55"/>
      <c r="B38" s="55"/>
      <c r="C38" s="77"/>
      <c r="D38" s="67" t="str">
        <f aca="false">IF(C38="","",MONTH(C38))</f>
        <v/>
      </c>
      <c r="E38" s="55"/>
      <c r="F38" s="55" t="n">
        <f aca="false">IFERROR(INDEX(Cuentas!$C$8:$C$500,MATCH(A38&amp;"|"&amp;E38,Cuentas!$A$8:$A$500&amp;"|"&amp;Cuentas!$B$8:$B$500,0)),"")</f>
        <v>0</v>
      </c>
      <c r="G38" s="55"/>
      <c r="H38" s="83"/>
      <c r="I38" s="83"/>
      <c r="J38" s="55"/>
      <c r="K38" s="55"/>
    </row>
    <row r="39" customFormat="false" ht="18" hidden="false" customHeight="true" outlineLevel="0" collapsed="false">
      <c r="A39" s="54"/>
      <c r="B39" s="54"/>
      <c r="C39" s="80"/>
      <c r="D39" s="69" t="str">
        <f aca="false">IF(C39="","",MONTH(C39))</f>
        <v/>
      </c>
      <c r="E39" s="54"/>
      <c r="F39" s="54" t="n">
        <f aca="false">IFERROR(INDEX(Cuentas!$C$8:$C$500,MATCH(A39&amp;"|"&amp;E39,Cuentas!$A$8:$A$500&amp;"|"&amp;Cuentas!$B$8:$B$500,0)),"")</f>
        <v>0</v>
      </c>
      <c r="G39" s="54"/>
      <c r="H39" s="82"/>
      <c r="I39" s="82"/>
      <c r="J39" s="54"/>
      <c r="K39" s="54"/>
    </row>
    <row r="40" customFormat="false" ht="18" hidden="false" customHeight="true" outlineLevel="0" collapsed="false">
      <c r="A40" s="55"/>
      <c r="B40" s="55"/>
      <c r="C40" s="77"/>
      <c r="D40" s="67" t="str">
        <f aca="false">IF(C40="","",MONTH(C40))</f>
        <v/>
      </c>
      <c r="E40" s="55"/>
      <c r="F40" s="55" t="n">
        <f aca="false">IFERROR(INDEX(Cuentas!$C$8:$C$500,MATCH(A40&amp;"|"&amp;E40,Cuentas!$A$8:$A$500&amp;"|"&amp;Cuentas!$B$8:$B$500,0)),"")</f>
        <v>0</v>
      </c>
      <c r="G40" s="55"/>
      <c r="H40" s="83"/>
      <c r="I40" s="83"/>
      <c r="J40" s="55"/>
      <c r="K40" s="55"/>
    </row>
    <row r="41" customFormat="false" ht="18" hidden="false" customHeight="true" outlineLevel="0" collapsed="false">
      <c r="A41" s="54"/>
      <c r="B41" s="54"/>
      <c r="C41" s="80"/>
      <c r="D41" s="69" t="str">
        <f aca="false">IF(C41="","",MONTH(C41))</f>
        <v/>
      </c>
      <c r="E41" s="54"/>
      <c r="F41" s="54" t="n">
        <f aca="false">IFERROR(INDEX(Cuentas!$C$8:$C$500,MATCH(A41&amp;"|"&amp;E41,Cuentas!$A$8:$A$500&amp;"|"&amp;Cuentas!$B$8:$B$500,0)),"")</f>
        <v>0</v>
      </c>
      <c r="G41" s="54"/>
      <c r="H41" s="82"/>
      <c r="I41" s="82"/>
      <c r="J41" s="54"/>
      <c r="K41" s="54"/>
    </row>
    <row r="42" customFormat="false" ht="18" hidden="false" customHeight="true" outlineLevel="0" collapsed="false">
      <c r="A42" s="55"/>
      <c r="B42" s="55"/>
      <c r="C42" s="77"/>
      <c r="D42" s="67" t="str">
        <f aca="false">IF(C42="","",MONTH(C42))</f>
        <v/>
      </c>
      <c r="E42" s="55"/>
      <c r="F42" s="55" t="n">
        <f aca="false">IFERROR(INDEX(Cuentas!$C$8:$C$500,MATCH(A42&amp;"|"&amp;E42,Cuentas!$A$8:$A$500&amp;"|"&amp;Cuentas!$B$8:$B$500,0)),"")</f>
        <v>0</v>
      </c>
      <c r="G42" s="55"/>
      <c r="H42" s="83"/>
      <c r="I42" s="83"/>
      <c r="J42" s="55"/>
      <c r="K42" s="55"/>
    </row>
    <row r="43" customFormat="false" ht="18" hidden="false" customHeight="true" outlineLevel="0" collapsed="false">
      <c r="A43" s="54"/>
      <c r="B43" s="54"/>
      <c r="C43" s="80"/>
      <c r="D43" s="69" t="str">
        <f aca="false">IF(C43="","",MONTH(C43))</f>
        <v/>
      </c>
      <c r="E43" s="54"/>
      <c r="F43" s="54" t="n">
        <f aca="false">IFERROR(INDEX(Cuentas!$C$8:$C$500,MATCH(A43&amp;"|"&amp;E43,Cuentas!$A$8:$A$500&amp;"|"&amp;Cuentas!$B$8:$B$500,0)),"")</f>
        <v>0</v>
      </c>
      <c r="G43" s="54"/>
      <c r="H43" s="82"/>
      <c r="I43" s="82"/>
      <c r="J43" s="54"/>
      <c r="K43" s="54"/>
    </row>
    <row r="44" customFormat="false" ht="18" hidden="false" customHeight="true" outlineLevel="0" collapsed="false">
      <c r="A44" s="55"/>
      <c r="B44" s="55"/>
      <c r="C44" s="77"/>
      <c r="D44" s="67" t="str">
        <f aca="false">IF(C44="","",MONTH(C44))</f>
        <v/>
      </c>
      <c r="E44" s="55"/>
      <c r="F44" s="55" t="n">
        <f aca="false">IFERROR(INDEX(Cuentas!$C$8:$C$500,MATCH(A44&amp;"|"&amp;E44,Cuentas!$A$8:$A$500&amp;"|"&amp;Cuentas!$B$8:$B$500,0)),"")</f>
        <v>0</v>
      </c>
      <c r="G44" s="55"/>
      <c r="H44" s="83"/>
      <c r="I44" s="83"/>
      <c r="J44" s="55"/>
      <c r="K44" s="55"/>
    </row>
    <row r="45" customFormat="false" ht="18" hidden="false" customHeight="true" outlineLevel="0" collapsed="false">
      <c r="A45" s="54"/>
      <c r="B45" s="54"/>
      <c r="C45" s="80"/>
      <c r="D45" s="69" t="str">
        <f aca="false">IF(C45="","",MONTH(C45))</f>
        <v/>
      </c>
      <c r="E45" s="54"/>
      <c r="F45" s="54" t="n">
        <f aca="false">IFERROR(INDEX(Cuentas!$C$8:$C$500,MATCH(A45&amp;"|"&amp;E45,Cuentas!$A$8:$A$500&amp;"|"&amp;Cuentas!$B$8:$B$500,0)),"")</f>
        <v>0</v>
      </c>
      <c r="G45" s="54"/>
      <c r="H45" s="82"/>
      <c r="I45" s="82"/>
      <c r="J45" s="54"/>
      <c r="K45" s="54"/>
    </row>
    <row r="46" customFormat="false" ht="18" hidden="false" customHeight="true" outlineLevel="0" collapsed="false">
      <c r="A46" s="55"/>
      <c r="B46" s="55"/>
      <c r="C46" s="77"/>
      <c r="D46" s="67" t="str">
        <f aca="false">IF(C46="","",MONTH(C46))</f>
        <v/>
      </c>
      <c r="E46" s="55"/>
      <c r="F46" s="55" t="n">
        <f aca="false">IFERROR(INDEX(Cuentas!$C$8:$C$500,MATCH(A46&amp;"|"&amp;E46,Cuentas!$A$8:$A$500&amp;"|"&amp;Cuentas!$B$8:$B$500,0)),"")</f>
        <v>0</v>
      </c>
      <c r="G46" s="55"/>
      <c r="H46" s="83"/>
      <c r="I46" s="83"/>
      <c r="J46" s="55"/>
      <c r="K46" s="55"/>
    </row>
    <row r="47" customFormat="false" ht="18" hidden="false" customHeight="true" outlineLevel="0" collapsed="false">
      <c r="A47" s="54"/>
      <c r="B47" s="54"/>
      <c r="C47" s="80"/>
      <c r="D47" s="69" t="str">
        <f aca="false">IF(C47="","",MONTH(C47))</f>
        <v/>
      </c>
      <c r="E47" s="54"/>
      <c r="F47" s="54" t="n">
        <f aca="false">IFERROR(INDEX(Cuentas!$C$8:$C$500,MATCH(A47&amp;"|"&amp;E47,Cuentas!$A$8:$A$500&amp;"|"&amp;Cuentas!$B$8:$B$500,0)),"")</f>
        <v>0</v>
      </c>
      <c r="G47" s="54"/>
      <c r="H47" s="82"/>
      <c r="I47" s="82"/>
      <c r="J47" s="54"/>
      <c r="K47" s="54"/>
    </row>
    <row r="48" customFormat="false" ht="18" hidden="false" customHeight="true" outlineLevel="0" collapsed="false">
      <c r="A48" s="55"/>
      <c r="B48" s="55"/>
      <c r="C48" s="77"/>
      <c r="D48" s="67" t="str">
        <f aca="false">IF(C48="","",MONTH(C48))</f>
        <v/>
      </c>
      <c r="E48" s="55"/>
      <c r="F48" s="55" t="n">
        <f aca="false">IFERROR(INDEX(Cuentas!$C$8:$C$500,MATCH(A48&amp;"|"&amp;E48,Cuentas!$A$8:$A$500&amp;"|"&amp;Cuentas!$B$8:$B$500,0)),"")</f>
        <v>0</v>
      </c>
      <c r="G48" s="55"/>
      <c r="H48" s="83"/>
      <c r="I48" s="83"/>
      <c r="J48" s="55"/>
      <c r="K48" s="55"/>
    </row>
    <row r="49" customFormat="false" ht="18" hidden="false" customHeight="true" outlineLevel="0" collapsed="false">
      <c r="A49" s="54"/>
      <c r="B49" s="54"/>
      <c r="C49" s="80"/>
      <c r="D49" s="69" t="str">
        <f aca="false">IF(C49="","",MONTH(C49))</f>
        <v/>
      </c>
      <c r="E49" s="54"/>
      <c r="F49" s="54" t="n">
        <f aca="false">IFERROR(INDEX(Cuentas!$C$8:$C$500,MATCH(A49&amp;"|"&amp;E49,Cuentas!$A$8:$A$500&amp;"|"&amp;Cuentas!$B$8:$B$500,0)),"")</f>
        <v>0</v>
      </c>
      <c r="G49" s="54"/>
      <c r="H49" s="82"/>
      <c r="I49" s="82"/>
      <c r="J49" s="54"/>
      <c r="K49" s="54"/>
    </row>
    <row r="50" customFormat="false" ht="18" hidden="false" customHeight="true" outlineLevel="0" collapsed="false">
      <c r="A50" s="55"/>
      <c r="B50" s="55"/>
      <c r="C50" s="77"/>
      <c r="D50" s="67" t="str">
        <f aca="false">IF(C50="","",MONTH(C50))</f>
        <v/>
      </c>
      <c r="E50" s="55"/>
      <c r="F50" s="55" t="n">
        <f aca="false">IFERROR(INDEX(Cuentas!$C$8:$C$500,MATCH(A50&amp;"|"&amp;E50,Cuentas!$A$8:$A$500&amp;"|"&amp;Cuentas!$B$8:$B$500,0)),"")</f>
        <v>0</v>
      </c>
      <c r="G50" s="55"/>
      <c r="H50" s="83"/>
      <c r="I50" s="83"/>
      <c r="J50" s="55"/>
      <c r="K50" s="55"/>
    </row>
    <row r="51" customFormat="false" ht="18" hidden="false" customHeight="true" outlineLevel="0" collapsed="false">
      <c r="A51" s="54"/>
      <c r="B51" s="54"/>
      <c r="C51" s="80"/>
      <c r="D51" s="69" t="str">
        <f aca="false">IF(C51="","",MONTH(C51))</f>
        <v/>
      </c>
      <c r="E51" s="54"/>
      <c r="F51" s="54" t="n">
        <f aca="false">IFERROR(INDEX(Cuentas!$C$8:$C$500,MATCH(A51&amp;"|"&amp;E51,Cuentas!$A$8:$A$500&amp;"|"&amp;Cuentas!$B$8:$B$500,0)),"")</f>
        <v>0</v>
      </c>
      <c r="G51" s="54"/>
      <c r="H51" s="82"/>
      <c r="I51" s="82"/>
      <c r="J51" s="54"/>
      <c r="K51" s="54"/>
    </row>
    <row r="52" customFormat="false" ht="18" hidden="false" customHeight="true" outlineLevel="0" collapsed="false">
      <c r="A52" s="55"/>
      <c r="B52" s="55"/>
      <c r="C52" s="77"/>
      <c r="D52" s="67" t="str">
        <f aca="false">IF(C52="","",MONTH(C52))</f>
        <v/>
      </c>
      <c r="E52" s="55"/>
      <c r="F52" s="55" t="n">
        <f aca="false">IFERROR(INDEX(Cuentas!$C$8:$C$500,MATCH(A52&amp;"|"&amp;E52,Cuentas!$A$8:$A$500&amp;"|"&amp;Cuentas!$B$8:$B$500,0)),"")</f>
        <v>0</v>
      </c>
      <c r="G52" s="55"/>
      <c r="H52" s="83"/>
      <c r="I52" s="83"/>
      <c r="J52" s="55"/>
      <c r="K52" s="55"/>
    </row>
    <row r="53" customFormat="false" ht="18" hidden="false" customHeight="true" outlineLevel="0" collapsed="false">
      <c r="A53" s="54"/>
      <c r="B53" s="54"/>
      <c r="C53" s="80"/>
      <c r="D53" s="69" t="str">
        <f aca="false">IF(C53="","",MONTH(C53))</f>
        <v/>
      </c>
      <c r="E53" s="54"/>
      <c r="F53" s="54" t="n">
        <f aca="false">IFERROR(INDEX(Cuentas!$C$8:$C$500,MATCH(A53&amp;"|"&amp;E53,Cuentas!$A$8:$A$500&amp;"|"&amp;Cuentas!$B$8:$B$500,0)),"")</f>
        <v>0</v>
      </c>
      <c r="G53" s="54"/>
      <c r="H53" s="82"/>
      <c r="I53" s="82"/>
      <c r="J53" s="54"/>
      <c r="K53" s="54"/>
    </row>
    <row r="54" customFormat="false" ht="18" hidden="false" customHeight="true" outlineLevel="0" collapsed="false">
      <c r="A54" s="55"/>
      <c r="B54" s="55"/>
      <c r="C54" s="77"/>
      <c r="D54" s="67" t="str">
        <f aca="false">IF(C54="","",MONTH(C54))</f>
        <v/>
      </c>
      <c r="E54" s="55"/>
      <c r="F54" s="55" t="n">
        <f aca="false">IFERROR(INDEX(Cuentas!$C$8:$C$500,MATCH(A54&amp;"|"&amp;E54,Cuentas!$A$8:$A$500&amp;"|"&amp;Cuentas!$B$8:$B$500,0)),"")</f>
        <v>0</v>
      </c>
      <c r="G54" s="55"/>
      <c r="H54" s="83"/>
      <c r="I54" s="83"/>
      <c r="J54" s="55"/>
      <c r="K54" s="55"/>
    </row>
    <row r="55" customFormat="false" ht="18" hidden="false" customHeight="true" outlineLevel="0" collapsed="false">
      <c r="A55" s="54"/>
      <c r="B55" s="54"/>
      <c r="C55" s="80"/>
      <c r="D55" s="69" t="str">
        <f aca="false">IF(C55="","",MONTH(C55))</f>
        <v/>
      </c>
      <c r="E55" s="54"/>
      <c r="F55" s="54" t="n">
        <f aca="false">IFERROR(INDEX(Cuentas!$C$8:$C$500,MATCH(A55&amp;"|"&amp;E55,Cuentas!$A$8:$A$500&amp;"|"&amp;Cuentas!$B$8:$B$500,0)),"")</f>
        <v>0</v>
      </c>
      <c r="G55" s="54"/>
      <c r="H55" s="82"/>
      <c r="I55" s="82"/>
      <c r="J55" s="54"/>
      <c r="K55" s="54"/>
    </row>
    <row r="56" customFormat="false" ht="18" hidden="false" customHeight="true" outlineLevel="0" collapsed="false">
      <c r="A56" s="55"/>
      <c r="B56" s="55"/>
      <c r="C56" s="77"/>
      <c r="D56" s="67" t="str">
        <f aca="false">IF(C56="","",MONTH(C56))</f>
        <v/>
      </c>
      <c r="E56" s="55"/>
      <c r="F56" s="55" t="n">
        <f aca="false">IFERROR(INDEX(Cuentas!$C$8:$C$500,MATCH(A56&amp;"|"&amp;E56,Cuentas!$A$8:$A$500&amp;"|"&amp;Cuentas!$B$8:$B$500,0)),"")</f>
        <v>0</v>
      </c>
      <c r="G56" s="55"/>
      <c r="H56" s="83"/>
      <c r="I56" s="83"/>
      <c r="J56" s="55"/>
      <c r="K56" s="55"/>
    </row>
    <row r="57" customFormat="false" ht="18" hidden="false" customHeight="true" outlineLevel="0" collapsed="false">
      <c r="A57" s="54"/>
      <c r="B57" s="54"/>
      <c r="C57" s="80"/>
      <c r="D57" s="69" t="str">
        <f aca="false">IF(C57="","",MONTH(C57))</f>
        <v/>
      </c>
      <c r="E57" s="54"/>
      <c r="F57" s="54" t="n">
        <f aca="false">IFERROR(INDEX(Cuentas!$C$8:$C$500,MATCH(A57&amp;"|"&amp;E57,Cuentas!$A$8:$A$500&amp;"|"&amp;Cuentas!$B$8:$B$500,0)),"")</f>
        <v>0</v>
      </c>
      <c r="G57" s="54"/>
      <c r="H57" s="82"/>
      <c r="I57" s="82"/>
      <c r="J57" s="54"/>
      <c r="K57" s="54"/>
    </row>
    <row r="58" customFormat="false" ht="18" hidden="false" customHeight="true" outlineLevel="0" collapsed="false">
      <c r="A58" s="55"/>
      <c r="B58" s="55"/>
      <c r="C58" s="77"/>
      <c r="D58" s="67" t="str">
        <f aca="false">IF(C58="","",MONTH(C58))</f>
        <v/>
      </c>
      <c r="E58" s="55"/>
      <c r="F58" s="55" t="n">
        <f aca="false">IFERROR(INDEX(Cuentas!$C$8:$C$500,MATCH(A58&amp;"|"&amp;E58,Cuentas!$A$8:$A$500&amp;"|"&amp;Cuentas!$B$8:$B$500,0)),"")</f>
        <v>0</v>
      </c>
      <c r="G58" s="55"/>
      <c r="H58" s="83"/>
      <c r="I58" s="83"/>
      <c r="J58" s="55"/>
      <c r="K58" s="55"/>
    </row>
    <row r="59" customFormat="false" ht="18" hidden="false" customHeight="true" outlineLevel="0" collapsed="false">
      <c r="A59" s="54"/>
      <c r="B59" s="54"/>
      <c r="C59" s="80"/>
      <c r="D59" s="69" t="str">
        <f aca="false">IF(C59="","",MONTH(C59))</f>
        <v/>
      </c>
      <c r="E59" s="54"/>
      <c r="F59" s="54" t="n">
        <f aca="false">IFERROR(INDEX(Cuentas!$C$8:$C$500,MATCH(A59&amp;"|"&amp;E59,Cuentas!$A$8:$A$500&amp;"|"&amp;Cuentas!$B$8:$B$500,0)),"")</f>
        <v>0</v>
      </c>
      <c r="G59" s="54"/>
      <c r="H59" s="82"/>
      <c r="I59" s="82"/>
      <c r="J59" s="54"/>
      <c r="K59" s="54"/>
    </row>
    <row r="60" customFormat="false" ht="18" hidden="false" customHeight="true" outlineLevel="0" collapsed="false">
      <c r="A60" s="55"/>
      <c r="B60" s="55"/>
      <c r="C60" s="77"/>
      <c r="D60" s="67" t="str">
        <f aca="false">IF(C60="","",MONTH(C60))</f>
        <v/>
      </c>
      <c r="E60" s="55"/>
      <c r="F60" s="55" t="n">
        <f aca="false">IFERROR(INDEX(Cuentas!$C$8:$C$500,MATCH(A60&amp;"|"&amp;E60,Cuentas!$A$8:$A$500&amp;"|"&amp;Cuentas!$B$8:$B$500,0)),"")</f>
        <v>0</v>
      </c>
      <c r="G60" s="55"/>
      <c r="H60" s="83"/>
      <c r="I60" s="83"/>
      <c r="J60" s="55"/>
      <c r="K60" s="55"/>
    </row>
    <row r="61" customFormat="false" ht="18" hidden="false" customHeight="true" outlineLevel="0" collapsed="false">
      <c r="A61" s="54"/>
      <c r="B61" s="54"/>
      <c r="C61" s="80"/>
      <c r="D61" s="69" t="str">
        <f aca="false">IF(C61="","",MONTH(C61))</f>
        <v/>
      </c>
      <c r="E61" s="54"/>
      <c r="F61" s="54" t="n">
        <f aca="false">IFERROR(INDEX(Cuentas!$C$8:$C$500,MATCH(A61&amp;"|"&amp;E61,Cuentas!$A$8:$A$500&amp;"|"&amp;Cuentas!$B$8:$B$500,0)),"")</f>
        <v>0</v>
      </c>
      <c r="G61" s="54"/>
      <c r="H61" s="82"/>
      <c r="I61" s="82"/>
      <c r="J61" s="54"/>
      <c r="K61" s="54"/>
    </row>
    <row r="62" customFormat="false" ht="18" hidden="false" customHeight="true" outlineLevel="0" collapsed="false">
      <c r="A62" s="55"/>
      <c r="B62" s="55"/>
      <c r="C62" s="77"/>
      <c r="D62" s="67" t="str">
        <f aca="false">IF(C62="","",MONTH(C62))</f>
        <v/>
      </c>
      <c r="E62" s="55"/>
      <c r="F62" s="55" t="n">
        <f aca="false">IFERROR(INDEX(Cuentas!$C$8:$C$500,MATCH(A62&amp;"|"&amp;E62,Cuentas!$A$8:$A$500&amp;"|"&amp;Cuentas!$B$8:$B$500,0)),"")</f>
        <v>0</v>
      </c>
      <c r="G62" s="55"/>
      <c r="H62" s="83"/>
      <c r="I62" s="83"/>
      <c r="J62" s="55"/>
      <c r="K62" s="55"/>
    </row>
    <row r="63" customFormat="false" ht="18" hidden="false" customHeight="true" outlineLevel="0" collapsed="false">
      <c r="A63" s="54"/>
      <c r="B63" s="54"/>
      <c r="C63" s="80"/>
      <c r="D63" s="69" t="str">
        <f aca="false">IF(C63="","",MONTH(C63))</f>
        <v/>
      </c>
      <c r="E63" s="54"/>
      <c r="F63" s="54" t="n">
        <f aca="false">IFERROR(INDEX(Cuentas!$C$8:$C$500,MATCH(A63&amp;"|"&amp;E63,Cuentas!$A$8:$A$500&amp;"|"&amp;Cuentas!$B$8:$B$500,0)),"")</f>
        <v>0</v>
      </c>
      <c r="G63" s="54"/>
      <c r="H63" s="82"/>
      <c r="I63" s="82"/>
      <c r="J63" s="54"/>
      <c r="K63" s="54"/>
    </row>
    <row r="64" customFormat="false" ht="18" hidden="false" customHeight="true" outlineLevel="0" collapsed="false">
      <c r="A64" s="55"/>
      <c r="B64" s="55"/>
      <c r="C64" s="77"/>
      <c r="D64" s="67" t="str">
        <f aca="false">IF(C64="","",MONTH(C64))</f>
        <v/>
      </c>
      <c r="E64" s="55"/>
      <c r="F64" s="55" t="n">
        <f aca="false">IFERROR(INDEX(Cuentas!$C$8:$C$500,MATCH(A64&amp;"|"&amp;E64,Cuentas!$A$8:$A$500&amp;"|"&amp;Cuentas!$B$8:$B$500,0)),"")</f>
        <v>0</v>
      </c>
      <c r="G64" s="55"/>
      <c r="H64" s="83"/>
      <c r="I64" s="83"/>
      <c r="J64" s="55"/>
      <c r="K64" s="55"/>
    </row>
    <row r="65" customFormat="false" ht="18" hidden="false" customHeight="true" outlineLevel="0" collapsed="false">
      <c r="A65" s="54"/>
      <c r="B65" s="54"/>
      <c r="C65" s="80"/>
      <c r="D65" s="69" t="str">
        <f aca="false">IF(C65="","",MONTH(C65))</f>
        <v/>
      </c>
      <c r="E65" s="54"/>
      <c r="F65" s="54" t="n">
        <f aca="false">IFERROR(INDEX(Cuentas!$C$8:$C$500,MATCH(A65&amp;"|"&amp;E65,Cuentas!$A$8:$A$500&amp;"|"&amp;Cuentas!$B$8:$B$500,0)),"")</f>
        <v>0</v>
      </c>
      <c r="G65" s="54"/>
      <c r="H65" s="82"/>
      <c r="I65" s="82"/>
      <c r="J65" s="54"/>
      <c r="K65" s="54"/>
    </row>
    <row r="66" customFormat="false" ht="18" hidden="false" customHeight="true" outlineLevel="0" collapsed="false">
      <c r="A66" s="55"/>
      <c r="B66" s="55"/>
      <c r="C66" s="77"/>
      <c r="D66" s="67" t="str">
        <f aca="false">IF(C66="","",MONTH(C66))</f>
        <v/>
      </c>
      <c r="E66" s="55"/>
      <c r="F66" s="55" t="n">
        <f aca="false">IFERROR(INDEX(Cuentas!$C$8:$C$500,MATCH(A66&amp;"|"&amp;E66,Cuentas!$A$8:$A$500&amp;"|"&amp;Cuentas!$B$8:$B$500,0)),"")</f>
        <v>0</v>
      </c>
      <c r="G66" s="55"/>
      <c r="H66" s="83"/>
      <c r="I66" s="83"/>
      <c r="J66" s="55"/>
      <c r="K66" s="55"/>
    </row>
    <row r="67" customFormat="false" ht="18" hidden="false" customHeight="true" outlineLevel="0" collapsed="false">
      <c r="A67" s="54"/>
      <c r="B67" s="54"/>
      <c r="C67" s="80"/>
      <c r="D67" s="69" t="str">
        <f aca="false">IF(C67="","",MONTH(C67))</f>
        <v/>
      </c>
      <c r="E67" s="54"/>
      <c r="F67" s="54" t="n">
        <f aca="false">IFERROR(INDEX(Cuentas!$C$8:$C$500,MATCH(A67&amp;"|"&amp;E67,Cuentas!$A$8:$A$500&amp;"|"&amp;Cuentas!$B$8:$B$500,0)),"")</f>
        <v>0</v>
      </c>
      <c r="G67" s="54"/>
      <c r="H67" s="82"/>
      <c r="I67" s="82"/>
      <c r="J67" s="54"/>
      <c r="K67" s="54"/>
    </row>
    <row r="68" customFormat="false" ht="18" hidden="false" customHeight="true" outlineLevel="0" collapsed="false">
      <c r="A68" s="55"/>
      <c r="B68" s="55"/>
      <c r="C68" s="77"/>
      <c r="D68" s="67" t="str">
        <f aca="false">IF(C68="","",MONTH(C68))</f>
        <v/>
      </c>
      <c r="E68" s="55"/>
      <c r="F68" s="55" t="n">
        <f aca="false">IFERROR(INDEX(Cuentas!$C$8:$C$500,MATCH(A68&amp;"|"&amp;E68,Cuentas!$A$8:$A$500&amp;"|"&amp;Cuentas!$B$8:$B$500,0)),"")</f>
        <v>0</v>
      </c>
      <c r="G68" s="55"/>
      <c r="H68" s="83"/>
      <c r="I68" s="83"/>
      <c r="J68" s="55"/>
      <c r="K68" s="55"/>
    </row>
    <row r="69" customFormat="false" ht="18" hidden="false" customHeight="true" outlineLevel="0" collapsed="false">
      <c r="A69" s="54"/>
      <c r="B69" s="54"/>
      <c r="C69" s="80"/>
      <c r="D69" s="69" t="str">
        <f aca="false">IF(C69="","",MONTH(C69))</f>
        <v/>
      </c>
      <c r="E69" s="54"/>
      <c r="F69" s="54" t="n">
        <f aca="false">IFERROR(INDEX(Cuentas!$C$8:$C$500,MATCH(A69&amp;"|"&amp;E69,Cuentas!$A$8:$A$500&amp;"|"&amp;Cuentas!$B$8:$B$500,0)),"")</f>
        <v>0</v>
      </c>
      <c r="G69" s="54"/>
      <c r="H69" s="82"/>
      <c r="I69" s="82"/>
      <c r="J69" s="54"/>
      <c r="K69" s="54"/>
    </row>
    <row r="70" customFormat="false" ht="18" hidden="false" customHeight="true" outlineLevel="0" collapsed="false">
      <c r="A70" s="55"/>
      <c r="B70" s="55"/>
      <c r="C70" s="77"/>
      <c r="D70" s="67" t="str">
        <f aca="false">IF(C70="","",MONTH(C70))</f>
        <v/>
      </c>
      <c r="E70" s="55"/>
      <c r="F70" s="55" t="n">
        <f aca="false">IFERROR(INDEX(Cuentas!$C$8:$C$500,MATCH(A70&amp;"|"&amp;E70,Cuentas!$A$8:$A$500&amp;"|"&amp;Cuentas!$B$8:$B$500,0)),"")</f>
        <v>0</v>
      </c>
      <c r="G70" s="55"/>
      <c r="H70" s="83"/>
      <c r="I70" s="83"/>
      <c r="J70" s="55"/>
      <c r="K70" s="55"/>
    </row>
    <row r="71" customFormat="false" ht="18" hidden="false" customHeight="true" outlineLevel="0" collapsed="false">
      <c r="A71" s="54"/>
      <c r="B71" s="54"/>
      <c r="C71" s="80"/>
      <c r="D71" s="69" t="str">
        <f aca="false">IF(C71="","",MONTH(C71))</f>
        <v/>
      </c>
      <c r="E71" s="54"/>
      <c r="F71" s="54" t="n">
        <f aca="false">IFERROR(INDEX(Cuentas!$C$8:$C$500,MATCH(A71&amp;"|"&amp;E71,Cuentas!$A$8:$A$500&amp;"|"&amp;Cuentas!$B$8:$B$500,0)),"")</f>
        <v>0</v>
      </c>
      <c r="G71" s="54"/>
      <c r="H71" s="82"/>
      <c r="I71" s="82"/>
      <c r="J71" s="54"/>
      <c r="K71" s="54"/>
    </row>
    <row r="72" customFormat="false" ht="18" hidden="false" customHeight="true" outlineLevel="0" collapsed="false">
      <c r="A72" s="55"/>
      <c r="B72" s="55"/>
      <c r="C72" s="77"/>
      <c r="D72" s="67" t="str">
        <f aca="false">IF(C72="","",MONTH(C72))</f>
        <v/>
      </c>
      <c r="E72" s="55"/>
      <c r="F72" s="55" t="n">
        <f aca="false">IFERROR(INDEX(Cuentas!$C$8:$C$500,MATCH(A72&amp;"|"&amp;E72,Cuentas!$A$8:$A$500&amp;"|"&amp;Cuentas!$B$8:$B$500,0)),"")</f>
        <v>0</v>
      </c>
      <c r="G72" s="55"/>
      <c r="H72" s="83"/>
      <c r="I72" s="83"/>
      <c r="J72" s="55"/>
      <c r="K72" s="55"/>
    </row>
    <row r="73" customFormat="false" ht="18" hidden="false" customHeight="true" outlineLevel="0" collapsed="false">
      <c r="A73" s="54"/>
      <c r="B73" s="54"/>
      <c r="C73" s="80"/>
      <c r="D73" s="69" t="str">
        <f aca="false">IF(C73="","",MONTH(C73))</f>
        <v/>
      </c>
      <c r="E73" s="54"/>
      <c r="F73" s="54" t="n">
        <f aca="false">IFERROR(INDEX(Cuentas!$C$8:$C$500,MATCH(A73&amp;"|"&amp;E73,Cuentas!$A$8:$A$500&amp;"|"&amp;Cuentas!$B$8:$B$500,0)),"")</f>
        <v>0</v>
      </c>
      <c r="G73" s="54"/>
      <c r="H73" s="82"/>
      <c r="I73" s="82"/>
      <c r="J73" s="54"/>
      <c r="K73" s="54"/>
    </row>
    <row r="74" customFormat="false" ht="18" hidden="false" customHeight="true" outlineLevel="0" collapsed="false">
      <c r="A74" s="55"/>
      <c r="B74" s="55"/>
      <c r="C74" s="77"/>
      <c r="D74" s="67" t="str">
        <f aca="false">IF(C74="","",MONTH(C74))</f>
        <v/>
      </c>
      <c r="E74" s="55"/>
      <c r="F74" s="55" t="n">
        <f aca="false">IFERROR(INDEX(Cuentas!$C$8:$C$500,MATCH(A74&amp;"|"&amp;E74,Cuentas!$A$8:$A$500&amp;"|"&amp;Cuentas!$B$8:$B$500,0)),"")</f>
        <v>0</v>
      </c>
      <c r="G74" s="55"/>
      <c r="H74" s="83"/>
      <c r="I74" s="83"/>
      <c r="J74" s="55"/>
      <c r="K74" s="55"/>
    </row>
    <row r="75" customFormat="false" ht="18" hidden="false" customHeight="true" outlineLevel="0" collapsed="false">
      <c r="A75" s="54"/>
      <c r="B75" s="54"/>
      <c r="C75" s="80"/>
      <c r="D75" s="69" t="str">
        <f aca="false">IF(C75="","",MONTH(C75))</f>
        <v/>
      </c>
      <c r="E75" s="54"/>
      <c r="F75" s="54" t="n">
        <f aca="false">IFERROR(INDEX(Cuentas!$C$8:$C$500,MATCH(A75&amp;"|"&amp;E75,Cuentas!$A$8:$A$500&amp;"|"&amp;Cuentas!$B$8:$B$500,0)),"")</f>
        <v>0</v>
      </c>
      <c r="G75" s="54"/>
      <c r="H75" s="82"/>
      <c r="I75" s="82"/>
      <c r="J75" s="54"/>
      <c r="K75" s="54"/>
    </row>
    <row r="76" customFormat="false" ht="18" hidden="false" customHeight="true" outlineLevel="0" collapsed="false">
      <c r="A76" s="55"/>
      <c r="B76" s="55"/>
      <c r="C76" s="77"/>
      <c r="D76" s="67" t="str">
        <f aca="false">IF(C76="","",MONTH(C76))</f>
        <v/>
      </c>
      <c r="E76" s="55"/>
      <c r="F76" s="55" t="n">
        <f aca="false">IFERROR(INDEX(Cuentas!$C$8:$C$500,MATCH(A76&amp;"|"&amp;E76,Cuentas!$A$8:$A$500&amp;"|"&amp;Cuentas!$B$8:$B$500,0)),"")</f>
        <v>0</v>
      </c>
      <c r="G76" s="55"/>
      <c r="H76" s="83"/>
      <c r="I76" s="83"/>
      <c r="J76" s="55"/>
      <c r="K76" s="55"/>
    </row>
    <row r="77" customFormat="false" ht="18" hidden="false" customHeight="true" outlineLevel="0" collapsed="false">
      <c r="A77" s="54"/>
      <c r="B77" s="54"/>
      <c r="C77" s="80"/>
      <c r="D77" s="69" t="str">
        <f aca="false">IF(C77="","",MONTH(C77))</f>
        <v/>
      </c>
      <c r="E77" s="54"/>
      <c r="F77" s="54" t="n">
        <f aca="false">IFERROR(INDEX(Cuentas!$C$8:$C$500,MATCH(A77&amp;"|"&amp;E77,Cuentas!$A$8:$A$500&amp;"|"&amp;Cuentas!$B$8:$B$500,0)),"")</f>
        <v>0</v>
      </c>
      <c r="G77" s="54"/>
      <c r="H77" s="82"/>
      <c r="I77" s="82"/>
      <c r="J77" s="54"/>
      <c r="K77" s="54"/>
    </row>
    <row r="78" customFormat="false" ht="18" hidden="false" customHeight="true" outlineLevel="0" collapsed="false">
      <c r="A78" s="55"/>
      <c r="B78" s="55"/>
      <c r="C78" s="77"/>
      <c r="D78" s="67" t="str">
        <f aca="false">IF(C78="","",MONTH(C78))</f>
        <v/>
      </c>
      <c r="E78" s="55"/>
      <c r="F78" s="55" t="n">
        <f aca="false">IFERROR(INDEX(Cuentas!$C$8:$C$500,MATCH(A78&amp;"|"&amp;E78,Cuentas!$A$8:$A$500&amp;"|"&amp;Cuentas!$B$8:$B$500,0)),"")</f>
        <v>0</v>
      </c>
      <c r="G78" s="55"/>
      <c r="H78" s="83"/>
      <c r="I78" s="83"/>
      <c r="J78" s="55"/>
      <c r="K78" s="55"/>
    </row>
    <row r="79" customFormat="false" ht="18" hidden="false" customHeight="true" outlineLevel="0" collapsed="false">
      <c r="A79" s="54"/>
      <c r="B79" s="54"/>
      <c r="C79" s="80"/>
      <c r="D79" s="69" t="str">
        <f aca="false">IF(C79="","",MONTH(C79))</f>
        <v/>
      </c>
      <c r="E79" s="54"/>
      <c r="F79" s="54" t="n">
        <f aca="false">IFERROR(INDEX(Cuentas!$C$8:$C$500,MATCH(A79&amp;"|"&amp;E79,Cuentas!$A$8:$A$500&amp;"|"&amp;Cuentas!$B$8:$B$500,0)),"")</f>
        <v>0</v>
      </c>
      <c r="G79" s="54"/>
      <c r="H79" s="82"/>
      <c r="I79" s="82"/>
      <c r="J79" s="54"/>
      <c r="K79" s="54"/>
    </row>
    <row r="80" customFormat="false" ht="18" hidden="false" customHeight="true" outlineLevel="0" collapsed="false">
      <c r="A80" s="55"/>
      <c r="B80" s="55"/>
      <c r="C80" s="77"/>
      <c r="D80" s="67" t="str">
        <f aca="false">IF(C80="","",MONTH(C80))</f>
        <v/>
      </c>
      <c r="E80" s="55"/>
      <c r="F80" s="55" t="n">
        <f aca="false">IFERROR(INDEX(Cuentas!$C$8:$C$500,MATCH(A80&amp;"|"&amp;E80,Cuentas!$A$8:$A$500&amp;"|"&amp;Cuentas!$B$8:$B$500,0)),"")</f>
        <v>0</v>
      </c>
      <c r="G80" s="55"/>
      <c r="H80" s="83"/>
      <c r="I80" s="83"/>
      <c r="J80" s="55"/>
      <c r="K80" s="55"/>
    </row>
    <row r="81" customFormat="false" ht="18" hidden="false" customHeight="true" outlineLevel="0" collapsed="false">
      <c r="A81" s="54"/>
      <c r="B81" s="54"/>
      <c r="C81" s="80"/>
      <c r="D81" s="69" t="str">
        <f aca="false">IF(C81="","",MONTH(C81))</f>
        <v/>
      </c>
      <c r="E81" s="54"/>
      <c r="F81" s="54" t="n">
        <f aca="false">IFERROR(INDEX(Cuentas!$C$8:$C$500,MATCH(A81&amp;"|"&amp;E81,Cuentas!$A$8:$A$500&amp;"|"&amp;Cuentas!$B$8:$B$500,0)),"")</f>
        <v>0</v>
      </c>
      <c r="G81" s="54"/>
      <c r="H81" s="82"/>
      <c r="I81" s="82"/>
      <c r="J81" s="54"/>
      <c r="K81" s="54"/>
    </row>
    <row r="82" customFormat="false" ht="18" hidden="false" customHeight="true" outlineLevel="0" collapsed="false">
      <c r="A82" s="55"/>
      <c r="B82" s="55"/>
      <c r="C82" s="77"/>
      <c r="D82" s="67" t="str">
        <f aca="false">IF(C82="","",MONTH(C82))</f>
        <v/>
      </c>
      <c r="E82" s="55"/>
      <c r="F82" s="55" t="n">
        <f aca="false">IFERROR(INDEX(Cuentas!$C$8:$C$500,MATCH(A82&amp;"|"&amp;E82,Cuentas!$A$8:$A$500&amp;"|"&amp;Cuentas!$B$8:$B$500,0)),"")</f>
        <v>0</v>
      </c>
      <c r="G82" s="55"/>
      <c r="H82" s="83"/>
      <c r="I82" s="83"/>
      <c r="J82" s="55"/>
      <c r="K82" s="55"/>
    </row>
    <row r="83" customFormat="false" ht="18" hidden="false" customHeight="true" outlineLevel="0" collapsed="false">
      <c r="A83" s="54"/>
      <c r="B83" s="54"/>
      <c r="C83" s="80"/>
      <c r="D83" s="69" t="str">
        <f aca="false">IF(C83="","",MONTH(C83))</f>
        <v/>
      </c>
      <c r="E83" s="54"/>
      <c r="F83" s="54" t="n">
        <f aca="false">IFERROR(INDEX(Cuentas!$C$8:$C$500,MATCH(A83&amp;"|"&amp;E83,Cuentas!$A$8:$A$500&amp;"|"&amp;Cuentas!$B$8:$B$500,0)),"")</f>
        <v>0</v>
      </c>
      <c r="G83" s="54"/>
      <c r="H83" s="82"/>
      <c r="I83" s="82"/>
      <c r="J83" s="54"/>
      <c r="K83" s="54"/>
    </row>
    <row r="84" customFormat="false" ht="18" hidden="false" customHeight="true" outlineLevel="0" collapsed="false">
      <c r="A84" s="55"/>
      <c r="B84" s="55"/>
      <c r="C84" s="77"/>
      <c r="D84" s="67" t="str">
        <f aca="false">IF(C84="","",MONTH(C84))</f>
        <v/>
      </c>
      <c r="E84" s="55"/>
      <c r="F84" s="55" t="n">
        <f aca="false">IFERROR(INDEX(Cuentas!$C$8:$C$500,MATCH(A84&amp;"|"&amp;E84,Cuentas!$A$8:$A$500&amp;"|"&amp;Cuentas!$B$8:$B$500,0)),"")</f>
        <v>0</v>
      </c>
      <c r="G84" s="55"/>
      <c r="H84" s="83"/>
      <c r="I84" s="83"/>
      <c r="J84" s="55"/>
      <c r="K84" s="55"/>
    </row>
    <row r="85" customFormat="false" ht="18" hidden="false" customHeight="true" outlineLevel="0" collapsed="false">
      <c r="A85" s="54"/>
      <c r="B85" s="54"/>
      <c r="C85" s="80"/>
      <c r="D85" s="69" t="str">
        <f aca="false">IF(C85="","",MONTH(C85))</f>
        <v/>
      </c>
      <c r="E85" s="54"/>
      <c r="F85" s="54" t="n">
        <f aca="false">IFERROR(INDEX(Cuentas!$C$8:$C$500,MATCH(A85&amp;"|"&amp;E85,Cuentas!$A$8:$A$500&amp;"|"&amp;Cuentas!$B$8:$B$500,0)),"")</f>
        <v>0</v>
      </c>
      <c r="G85" s="54"/>
      <c r="H85" s="82"/>
      <c r="I85" s="82"/>
      <c r="J85" s="54"/>
      <c r="K85" s="54"/>
    </row>
    <row r="86" customFormat="false" ht="18" hidden="false" customHeight="true" outlineLevel="0" collapsed="false">
      <c r="A86" s="55"/>
      <c r="B86" s="55"/>
      <c r="C86" s="77"/>
      <c r="D86" s="67" t="str">
        <f aca="false">IF(C86="","",MONTH(C86))</f>
        <v/>
      </c>
      <c r="E86" s="55"/>
      <c r="F86" s="55" t="n">
        <f aca="false">IFERROR(INDEX(Cuentas!$C$8:$C$500,MATCH(A86&amp;"|"&amp;E86,Cuentas!$A$8:$A$500&amp;"|"&amp;Cuentas!$B$8:$B$500,0)),"")</f>
        <v>0</v>
      </c>
      <c r="G86" s="55"/>
      <c r="H86" s="83"/>
      <c r="I86" s="83"/>
      <c r="J86" s="55"/>
      <c r="K86" s="55"/>
    </row>
    <row r="87" customFormat="false" ht="18" hidden="false" customHeight="true" outlineLevel="0" collapsed="false">
      <c r="A87" s="54"/>
      <c r="B87" s="54"/>
      <c r="C87" s="80"/>
      <c r="D87" s="69" t="str">
        <f aca="false">IF(C87="","",MONTH(C87))</f>
        <v/>
      </c>
      <c r="E87" s="54"/>
      <c r="F87" s="54" t="n">
        <f aca="false">IFERROR(INDEX(Cuentas!$C$8:$C$500,MATCH(A87&amp;"|"&amp;E87,Cuentas!$A$8:$A$500&amp;"|"&amp;Cuentas!$B$8:$B$500,0)),"")</f>
        <v>0</v>
      </c>
      <c r="G87" s="54"/>
      <c r="H87" s="82"/>
      <c r="I87" s="82"/>
      <c r="J87" s="54"/>
      <c r="K87" s="54"/>
    </row>
    <row r="88" customFormat="false" ht="18" hidden="false" customHeight="true" outlineLevel="0" collapsed="false">
      <c r="A88" s="55"/>
      <c r="B88" s="55"/>
      <c r="C88" s="77"/>
      <c r="D88" s="67" t="str">
        <f aca="false">IF(C88="","",MONTH(C88))</f>
        <v/>
      </c>
      <c r="E88" s="55"/>
      <c r="F88" s="55" t="n">
        <f aca="false">IFERROR(INDEX(Cuentas!$C$8:$C$500,MATCH(A88&amp;"|"&amp;E88,Cuentas!$A$8:$A$500&amp;"|"&amp;Cuentas!$B$8:$B$500,0)),"")</f>
        <v>0</v>
      </c>
      <c r="G88" s="55"/>
      <c r="H88" s="83"/>
      <c r="I88" s="83"/>
      <c r="J88" s="55"/>
      <c r="K88" s="55"/>
    </row>
    <row r="89" customFormat="false" ht="18" hidden="false" customHeight="true" outlineLevel="0" collapsed="false">
      <c r="A89" s="54"/>
      <c r="B89" s="54"/>
      <c r="C89" s="80"/>
      <c r="D89" s="69" t="str">
        <f aca="false">IF(C89="","",MONTH(C89))</f>
        <v/>
      </c>
      <c r="E89" s="54"/>
      <c r="F89" s="54" t="n">
        <f aca="false">IFERROR(INDEX(Cuentas!$C$8:$C$500,MATCH(A89&amp;"|"&amp;E89,Cuentas!$A$8:$A$500&amp;"|"&amp;Cuentas!$B$8:$B$500,0)),"")</f>
        <v>0</v>
      </c>
      <c r="G89" s="54"/>
      <c r="H89" s="82"/>
      <c r="I89" s="82"/>
      <c r="J89" s="54"/>
      <c r="K89" s="54"/>
    </row>
    <row r="90" customFormat="false" ht="18" hidden="false" customHeight="true" outlineLevel="0" collapsed="false">
      <c r="A90" s="55"/>
      <c r="B90" s="55"/>
      <c r="C90" s="77"/>
      <c r="D90" s="67" t="str">
        <f aca="false">IF(C90="","",MONTH(C90))</f>
        <v/>
      </c>
      <c r="E90" s="55"/>
      <c r="F90" s="55" t="n">
        <f aca="false">IFERROR(INDEX(Cuentas!$C$8:$C$500,MATCH(A90&amp;"|"&amp;E90,Cuentas!$A$8:$A$500&amp;"|"&amp;Cuentas!$B$8:$B$500,0)),"")</f>
        <v>0</v>
      </c>
      <c r="G90" s="55"/>
      <c r="H90" s="83"/>
      <c r="I90" s="83"/>
      <c r="J90" s="55"/>
      <c r="K90" s="55"/>
    </row>
    <row r="91" customFormat="false" ht="18" hidden="false" customHeight="true" outlineLevel="0" collapsed="false">
      <c r="A91" s="54"/>
      <c r="B91" s="54"/>
      <c r="C91" s="80"/>
      <c r="D91" s="69" t="str">
        <f aca="false">IF(C91="","",MONTH(C91))</f>
        <v/>
      </c>
      <c r="E91" s="54"/>
      <c r="F91" s="54" t="n">
        <f aca="false">IFERROR(INDEX(Cuentas!$C$8:$C$500,MATCH(A91&amp;"|"&amp;E91,Cuentas!$A$8:$A$500&amp;"|"&amp;Cuentas!$B$8:$B$500,0)),"")</f>
        <v>0</v>
      </c>
      <c r="G91" s="54"/>
      <c r="H91" s="82"/>
      <c r="I91" s="82"/>
      <c r="J91" s="54"/>
      <c r="K91" s="54"/>
    </row>
    <row r="92" customFormat="false" ht="18" hidden="false" customHeight="true" outlineLevel="0" collapsed="false">
      <c r="A92" s="55"/>
      <c r="B92" s="55"/>
      <c r="C92" s="77"/>
      <c r="D92" s="67" t="str">
        <f aca="false">IF(C92="","",MONTH(C92))</f>
        <v/>
      </c>
      <c r="E92" s="55"/>
      <c r="F92" s="55" t="n">
        <f aca="false">IFERROR(INDEX(Cuentas!$C$8:$C$500,MATCH(A92&amp;"|"&amp;E92,Cuentas!$A$8:$A$500&amp;"|"&amp;Cuentas!$B$8:$B$500,0)),"")</f>
        <v>0</v>
      </c>
      <c r="G92" s="55"/>
      <c r="H92" s="83"/>
      <c r="I92" s="83"/>
      <c r="J92" s="55"/>
      <c r="K92" s="55"/>
    </row>
    <row r="93" customFormat="false" ht="18" hidden="false" customHeight="true" outlineLevel="0" collapsed="false">
      <c r="A93" s="54"/>
      <c r="B93" s="54"/>
      <c r="C93" s="80"/>
      <c r="D93" s="69" t="str">
        <f aca="false">IF(C93="","",MONTH(C93))</f>
        <v/>
      </c>
      <c r="E93" s="54"/>
      <c r="F93" s="54" t="n">
        <f aca="false">IFERROR(INDEX(Cuentas!$C$8:$C$500,MATCH(A93&amp;"|"&amp;E93,Cuentas!$A$8:$A$500&amp;"|"&amp;Cuentas!$B$8:$B$500,0)),"")</f>
        <v>0</v>
      </c>
      <c r="G93" s="54"/>
      <c r="H93" s="82"/>
      <c r="I93" s="82"/>
      <c r="J93" s="54"/>
      <c r="K93" s="54"/>
    </row>
    <row r="94" customFormat="false" ht="18" hidden="false" customHeight="true" outlineLevel="0" collapsed="false">
      <c r="A94" s="55"/>
      <c r="B94" s="55"/>
      <c r="C94" s="77"/>
      <c r="D94" s="67" t="str">
        <f aca="false">IF(C94="","",MONTH(C94))</f>
        <v/>
      </c>
      <c r="E94" s="55"/>
      <c r="F94" s="55" t="n">
        <f aca="false">IFERROR(INDEX(Cuentas!$C$8:$C$500,MATCH(A94&amp;"|"&amp;E94,Cuentas!$A$8:$A$500&amp;"|"&amp;Cuentas!$B$8:$B$500,0)),"")</f>
        <v>0</v>
      </c>
      <c r="G94" s="55"/>
      <c r="H94" s="83"/>
      <c r="I94" s="83"/>
      <c r="J94" s="55"/>
      <c r="K94" s="55"/>
    </row>
    <row r="95" customFormat="false" ht="18" hidden="false" customHeight="true" outlineLevel="0" collapsed="false">
      <c r="A95" s="54"/>
      <c r="B95" s="54"/>
      <c r="C95" s="80"/>
      <c r="D95" s="69" t="str">
        <f aca="false">IF(C95="","",MONTH(C95))</f>
        <v/>
      </c>
      <c r="E95" s="54"/>
      <c r="F95" s="54" t="n">
        <f aca="false">IFERROR(INDEX(Cuentas!$C$8:$C$500,MATCH(A95&amp;"|"&amp;E95,Cuentas!$A$8:$A$500&amp;"|"&amp;Cuentas!$B$8:$B$500,0)),"")</f>
        <v>0</v>
      </c>
      <c r="G95" s="54"/>
      <c r="H95" s="82"/>
      <c r="I95" s="82"/>
      <c r="J95" s="54"/>
      <c r="K95" s="54"/>
    </row>
    <row r="96" customFormat="false" ht="18" hidden="false" customHeight="true" outlineLevel="0" collapsed="false">
      <c r="A96" s="55"/>
      <c r="B96" s="55"/>
      <c r="C96" s="77"/>
      <c r="D96" s="67" t="str">
        <f aca="false">IF(C96="","",MONTH(C96))</f>
        <v/>
      </c>
      <c r="E96" s="55"/>
      <c r="F96" s="55" t="n">
        <f aca="false">IFERROR(INDEX(Cuentas!$C$8:$C$500,MATCH(A96&amp;"|"&amp;E96,Cuentas!$A$8:$A$500&amp;"|"&amp;Cuentas!$B$8:$B$500,0)),"")</f>
        <v>0</v>
      </c>
      <c r="G96" s="55"/>
      <c r="H96" s="83"/>
      <c r="I96" s="83"/>
      <c r="J96" s="55"/>
      <c r="K96" s="55"/>
    </row>
    <row r="97" customFormat="false" ht="18" hidden="false" customHeight="true" outlineLevel="0" collapsed="false">
      <c r="A97" s="54"/>
      <c r="B97" s="54"/>
      <c r="C97" s="80"/>
      <c r="D97" s="69" t="str">
        <f aca="false">IF(C97="","",MONTH(C97))</f>
        <v/>
      </c>
      <c r="E97" s="54"/>
      <c r="F97" s="54" t="n">
        <f aca="false">IFERROR(INDEX(Cuentas!$C$8:$C$500,MATCH(A97&amp;"|"&amp;E97,Cuentas!$A$8:$A$500&amp;"|"&amp;Cuentas!$B$8:$B$500,0)),"")</f>
        <v>0</v>
      </c>
      <c r="G97" s="54"/>
      <c r="H97" s="82"/>
      <c r="I97" s="82"/>
      <c r="J97" s="54"/>
      <c r="K97" s="54"/>
    </row>
    <row r="98" customFormat="false" ht="18" hidden="false" customHeight="true" outlineLevel="0" collapsed="false">
      <c r="A98" s="55"/>
      <c r="B98" s="55"/>
      <c r="C98" s="77"/>
      <c r="D98" s="67" t="str">
        <f aca="false">IF(C98="","",MONTH(C98))</f>
        <v/>
      </c>
      <c r="E98" s="55"/>
      <c r="F98" s="55" t="n">
        <f aca="false">IFERROR(INDEX(Cuentas!$C$8:$C$500,MATCH(A98&amp;"|"&amp;E98,Cuentas!$A$8:$A$500&amp;"|"&amp;Cuentas!$B$8:$B$500,0)),"")</f>
        <v>0</v>
      </c>
      <c r="G98" s="55"/>
      <c r="H98" s="83"/>
      <c r="I98" s="83"/>
      <c r="J98" s="55"/>
      <c r="K98" s="55"/>
    </row>
    <row r="99" customFormat="false" ht="18" hidden="false" customHeight="true" outlineLevel="0" collapsed="false">
      <c r="A99" s="54"/>
      <c r="B99" s="54"/>
      <c r="C99" s="80"/>
      <c r="D99" s="69" t="str">
        <f aca="false">IF(C99="","",MONTH(C99))</f>
        <v/>
      </c>
      <c r="E99" s="54"/>
      <c r="F99" s="54" t="n">
        <f aca="false">IFERROR(INDEX(Cuentas!$C$8:$C$500,MATCH(A99&amp;"|"&amp;E99,Cuentas!$A$8:$A$500&amp;"|"&amp;Cuentas!$B$8:$B$500,0)),"")</f>
        <v>0</v>
      </c>
      <c r="G99" s="54"/>
      <c r="H99" s="82"/>
      <c r="I99" s="82"/>
      <c r="J99" s="54"/>
      <c r="K99" s="54"/>
    </row>
    <row r="100" customFormat="false" ht="18" hidden="false" customHeight="true" outlineLevel="0" collapsed="false">
      <c r="A100" s="55"/>
      <c r="B100" s="55"/>
      <c r="C100" s="77"/>
      <c r="D100" s="67" t="str">
        <f aca="false">IF(C100="","",MONTH(C100))</f>
        <v/>
      </c>
      <c r="E100" s="55"/>
      <c r="F100" s="55" t="n">
        <f aca="false">IFERROR(INDEX(Cuentas!$C$8:$C$500,MATCH(A100&amp;"|"&amp;E100,Cuentas!$A$8:$A$500&amp;"|"&amp;Cuentas!$B$8:$B$500,0)),"")</f>
        <v>0</v>
      </c>
      <c r="G100" s="55"/>
      <c r="H100" s="83"/>
      <c r="I100" s="83"/>
      <c r="J100" s="55"/>
      <c r="K100" s="55"/>
    </row>
    <row r="101" customFormat="false" ht="18" hidden="false" customHeight="true" outlineLevel="0" collapsed="false">
      <c r="A101" s="54"/>
      <c r="B101" s="54"/>
      <c r="C101" s="80"/>
      <c r="D101" s="69" t="str">
        <f aca="false">IF(C101="","",MONTH(C101))</f>
        <v/>
      </c>
      <c r="E101" s="54"/>
      <c r="F101" s="54" t="n">
        <f aca="false">IFERROR(INDEX(Cuentas!$C$8:$C$500,MATCH(A101&amp;"|"&amp;E101,Cuentas!$A$8:$A$500&amp;"|"&amp;Cuentas!$B$8:$B$500,0)),"")</f>
        <v>0</v>
      </c>
      <c r="G101" s="54"/>
      <c r="H101" s="82"/>
      <c r="I101" s="82"/>
      <c r="J101" s="54"/>
      <c r="K101" s="54"/>
    </row>
    <row r="102" customFormat="false" ht="18" hidden="false" customHeight="true" outlineLevel="0" collapsed="false">
      <c r="A102" s="55"/>
      <c r="B102" s="55"/>
      <c r="C102" s="77"/>
      <c r="D102" s="67" t="str">
        <f aca="false">IF(C102="","",MONTH(C102))</f>
        <v/>
      </c>
      <c r="E102" s="55"/>
      <c r="F102" s="55" t="n">
        <f aca="false">IFERROR(INDEX(Cuentas!$C$8:$C$500,MATCH(A102&amp;"|"&amp;E102,Cuentas!$A$8:$A$500&amp;"|"&amp;Cuentas!$B$8:$B$500,0)),"")</f>
        <v>0</v>
      </c>
      <c r="G102" s="55"/>
      <c r="H102" s="83"/>
      <c r="I102" s="83"/>
      <c r="J102" s="55"/>
      <c r="K102" s="55"/>
    </row>
    <row r="103" customFormat="false" ht="18" hidden="false" customHeight="true" outlineLevel="0" collapsed="false">
      <c r="A103" s="54"/>
      <c r="B103" s="54"/>
      <c r="C103" s="80"/>
      <c r="D103" s="69" t="str">
        <f aca="false">IF(C103="","",MONTH(C103))</f>
        <v/>
      </c>
      <c r="E103" s="54"/>
      <c r="F103" s="54" t="n">
        <f aca="false">IFERROR(INDEX(Cuentas!$C$8:$C$500,MATCH(A103&amp;"|"&amp;E103,Cuentas!$A$8:$A$500&amp;"|"&amp;Cuentas!$B$8:$B$500,0)),"")</f>
        <v>0</v>
      </c>
      <c r="G103" s="54"/>
      <c r="H103" s="82"/>
      <c r="I103" s="82"/>
      <c r="J103" s="54"/>
      <c r="K103" s="54"/>
    </row>
    <row r="104" customFormat="false" ht="18" hidden="false" customHeight="true" outlineLevel="0" collapsed="false">
      <c r="A104" s="55"/>
      <c r="B104" s="55"/>
      <c r="C104" s="77"/>
      <c r="D104" s="67" t="str">
        <f aca="false">IF(C104="","",MONTH(C104))</f>
        <v/>
      </c>
      <c r="E104" s="55"/>
      <c r="F104" s="55" t="n">
        <f aca="false">IFERROR(INDEX(Cuentas!$C$8:$C$500,MATCH(A104&amp;"|"&amp;E104,Cuentas!$A$8:$A$500&amp;"|"&amp;Cuentas!$B$8:$B$500,0)),"")</f>
        <v>0</v>
      </c>
      <c r="G104" s="55"/>
      <c r="H104" s="83"/>
      <c r="I104" s="83"/>
      <c r="J104" s="55"/>
      <c r="K104" s="55"/>
    </row>
    <row r="105" customFormat="false" ht="18" hidden="false" customHeight="true" outlineLevel="0" collapsed="false">
      <c r="A105" s="54"/>
      <c r="B105" s="54"/>
      <c r="C105" s="80"/>
      <c r="D105" s="69" t="str">
        <f aca="false">IF(C105="","",MONTH(C105))</f>
        <v/>
      </c>
      <c r="E105" s="54"/>
      <c r="F105" s="54" t="n">
        <f aca="false">IFERROR(INDEX(Cuentas!$C$8:$C$500,MATCH(A105&amp;"|"&amp;E105,Cuentas!$A$8:$A$500&amp;"|"&amp;Cuentas!$B$8:$B$500,0)),"")</f>
        <v>0</v>
      </c>
      <c r="G105" s="54"/>
      <c r="H105" s="82"/>
      <c r="I105" s="82"/>
      <c r="J105" s="54"/>
      <c r="K105" s="54"/>
    </row>
    <row r="106" customFormat="false" ht="18" hidden="false" customHeight="true" outlineLevel="0" collapsed="false">
      <c r="A106" s="55"/>
      <c r="B106" s="55"/>
      <c r="C106" s="77"/>
      <c r="D106" s="67" t="str">
        <f aca="false">IF(C106="","",MONTH(C106))</f>
        <v/>
      </c>
      <c r="E106" s="55"/>
      <c r="F106" s="55" t="n">
        <f aca="false">IFERROR(INDEX(Cuentas!$C$8:$C$500,MATCH(A106&amp;"|"&amp;E106,Cuentas!$A$8:$A$500&amp;"|"&amp;Cuentas!$B$8:$B$500,0)),"")</f>
        <v>0</v>
      </c>
      <c r="G106" s="55"/>
      <c r="H106" s="83"/>
      <c r="I106" s="83"/>
      <c r="J106" s="55"/>
      <c r="K106" s="55"/>
    </row>
    <row r="107" customFormat="false" ht="18" hidden="false" customHeight="true" outlineLevel="0" collapsed="false">
      <c r="A107" s="54"/>
      <c r="B107" s="54"/>
      <c r="C107" s="80"/>
      <c r="D107" s="69" t="str">
        <f aca="false">IF(C107="","",MONTH(C107))</f>
        <v/>
      </c>
      <c r="E107" s="54"/>
      <c r="F107" s="54" t="n">
        <f aca="false">IFERROR(INDEX(Cuentas!$C$8:$C$500,MATCH(A107&amp;"|"&amp;E107,Cuentas!$A$8:$A$500&amp;"|"&amp;Cuentas!$B$8:$B$500,0)),"")</f>
        <v>0</v>
      </c>
      <c r="G107" s="54"/>
      <c r="H107" s="82"/>
      <c r="I107" s="82"/>
      <c r="J107" s="54"/>
      <c r="K107" s="54"/>
    </row>
    <row r="108" customFormat="false" ht="18" hidden="false" customHeight="true" outlineLevel="0" collapsed="false">
      <c r="A108" s="55"/>
      <c r="B108" s="55"/>
      <c r="C108" s="77"/>
      <c r="D108" s="67" t="str">
        <f aca="false">IF(C108="","",MONTH(C108))</f>
        <v/>
      </c>
      <c r="E108" s="55"/>
      <c r="F108" s="55" t="n">
        <f aca="false">IFERROR(INDEX(Cuentas!$C$8:$C$500,MATCH(A108&amp;"|"&amp;E108,Cuentas!$A$8:$A$500&amp;"|"&amp;Cuentas!$B$8:$B$500,0)),"")</f>
        <v>0</v>
      </c>
      <c r="G108" s="55"/>
      <c r="H108" s="83"/>
      <c r="I108" s="83"/>
      <c r="J108" s="55"/>
      <c r="K108" s="55"/>
    </row>
    <row r="109" customFormat="false" ht="18" hidden="false" customHeight="true" outlineLevel="0" collapsed="false">
      <c r="A109" s="54"/>
      <c r="B109" s="54"/>
      <c r="C109" s="80"/>
      <c r="D109" s="69" t="str">
        <f aca="false">IF(C109="","",MONTH(C109))</f>
        <v/>
      </c>
      <c r="E109" s="54"/>
      <c r="F109" s="54" t="n">
        <f aca="false">IFERROR(INDEX(Cuentas!$C$8:$C$500,MATCH(A109&amp;"|"&amp;E109,Cuentas!$A$8:$A$500&amp;"|"&amp;Cuentas!$B$8:$B$500,0)),"")</f>
        <v>0</v>
      </c>
      <c r="G109" s="54"/>
      <c r="H109" s="82"/>
      <c r="I109" s="82"/>
      <c r="J109" s="54"/>
      <c r="K109" s="54"/>
    </row>
    <row r="110" customFormat="false" ht="18" hidden="false" customHeight="true" outlineLevel="0" collapsed="false">
      <c r="A110" s="55"/>
      <c r="B110" s="55"/>
      <c r="C110" s="77"/>
      <c r="D110" s="67" t="str">
        <f aca="false">IF(C110="","",MONTH(C110))</f>
        <v/>
      </c>
      <c r="E110" s="55"/>
      <c r="F110" s="55" t="n">
        <f aca="false">IFERROR(INDEX(Cuentas!$C$8:$C$500,MATCH(A110&amp;"|"&amp;E110,Cuentas!$A$8:$A$500&amp;"|"&amp;Cuentas!$B$8:$B$500,0)),"")</f>
        <v>0</v>
      </c>
      <c r="G110" s="55"/>
      <c r="H110" s="83"/>
      <c r="I110" s="83"/>
      <c r="J110" s="55"/>
      <c r="K110" s="55"/>
    </row>
    <row r="111" customFormat="false" ht="18" hidden="false" customHeight="true" outlineLevel="0" collapsed="false">
      <c r="A111" s="54"/>
      <c r="B111" s="54"/>
      <c r="C111" s="80"/>
      <c r="D111" s="69" t="str">
        <f aca="false">IF(C111="","",MONTH(C111))</f>
        <v/>
      </c>
      <c r="E111" s="54"/>
      <c r="F111" s="54" t="n">
        <f aca="false">IFERROR(INDEX(Cuentas!$C$8:$C$500,MATCH(A111&amp;"|"&amp;E111,Cuentas!$A$8:$A$500&amp;"|"&amp;Cuentas!$B$8:$B$500,0)),"")</f>
        <v>0</v>
      </c>
      <c r="G111" s="54"/>
      <c r="H111" s="82"/>
      <c r="I111" s="82"/>
      <c r="J111" s="54"/>
      <c r="K111" s="54"/>
    </row>
    <row r="112" customFormat="false" ht="18" hidden="false" customHeight="true" outlineLevel="0" collapsed="false">
      <c r="A112" s="55"/>
      <c r="B112" s="55"/>
      <c r="C112" s="77"/>
      <c r="D112" s="67" t="str">
        <f aca="false">IF(C112="","",MONTH(C112))</f>
        <v/>
      </c>
      <c r="E112" s="55"/>
      <c r="F112" s="55" t="n">
        <f aca="false">IFERROR(INDEX(Cuentas!$C$8:$C$500,MATCH(A112&amp;"|"&amp;E112,Cuentas!$A$8:$A$500&amp;"|"&amp;Cuentas!$B$8:$B$500,0)),"")</f>
        <v>0</v>
      </c>
      <c r="G112" s="55"/>
      <c r="H112" s="83"/>
      <c r="I112" s="83"/>
      <c r="J112" s="55"/>
      <c r="K112" s="55"/>
    </row>
    <row r="113" customFormat="false" ht="18" hidden="false" customHeight="true" outlineLevel="0" collapsed="false">
      <c r="A113" s="54"/>
      <c r="B113" s="54"/>
      <c r="C113" s="80"/>
      <c r="D113" s="69" t="str">
        <f aca="false">IF(C113="","",MONTH(C113))</f>
        <v/>
      </c>
      <c r="E113" s="54"/>
      <c r="F113" s="54" t="n">
        <f aca="false">IFERROR(INDEX(Cuentas!$C$8:$C$500,MATCH(A113&amp;"|"&amp;E113,Cuentas!$A$8:$A$500&amp;"|"&amp;Cuentas!$B$8:$B$500,0)),"")</f>
        <v>0</v>
      </c>
      <c r="G113" s="54"/>
      <c r="H113" s="82"/>
      <c r="I113" s="82"/>
      <c r="J113" s="54"/>
      <c r="K113" s="54"/>
    </row>
    <row r="114" customFormat="false" ht="18" hidden="false" customHeight="true" outlineLevel="0" collapsed="false">
      <c r="A114" s="55"/>
      <c r="B114" s="55"/>
      <c r="C114" s="77"/>
      <c r="D114" s="67" t="str">
        <f aca="false">IF(C114="","",MONTH(C114))</f>
        <v/>
      </c>
      <c r="E114" s="55"/>
      <c r="F114" s="55" t="n">
        <f aca="false">IFERROR(INDEX(Cuentas!$C$8:$C$500,MATCH(A114&amp;"|"&amp;E114,Cuentas!$A$8:$A$500&amp;"|"&amp;Cuentas!$B$8:$B$500,0)),"")</f>
        <v>0</v>
      </c>
      <c r="G114" s="55"/>
      <c r="H114" s="83"/>
      <c r="I114" s="83"/>
      <c r="J114" s="55"/>
      <c r="K114" s="55"/>
    </row>
    <row r="115" customFormat="false" ht="18" hidden="false" customHeight="true" outlineLevel="0" collapsed="false">
      <c r="A115" s="54"/>
      <c r="B115" s="54"/>
      <c r="C115" s="80"/>
      <c r="D115" s="69" t="str">
        <f aca="false">IF(C115="","",MONTH(C115))</f>
        <v/>
      </c>
      <c r="E115" s="54"/>
      <c r="F115" s="54" t="n">
        <f aca="false">IFERROR(INDEX(Cuentas!$C$8:$C$500,MATCH(A115&amp;"|"&amp;E115,Cuentas!$A$8:$A$500&amp;"|"&amp;Cuentas!$B$8:$B$500,0)),"")</f>
        <v>0</v>
      </c>
      <c r="G115" s="54"/>
      <c r="H115" s="82"/>
      <c r="I115" s="82"/>
      <c r="J115" s="54"/>
      <c r="K115" s="54"/>
    </row>
    <row r="116" customFormat="false" ht="18" hidden="false" customHeight="true" outlineLevel="0" collapsed="false">
      <c r="A116" s="55"/>
      <c r="B116" s="55"/>
      <c r="C116" s="77"/>
      <c r="D116" s="67" t="str">
        <f aca="false">IF(C116="","",MONTH(C116))</f>
        <v/>
      </c>
      <c r="E116" s="55"/>
      <c r="F116" s="55" t="n">
        <f aca="false">IFERROR(INDEX(Cuentas!$C$8:$C$500,MATCH(A116&amp;"|"&amp;E116,Cuentas!$A$8:$A$500&amp;"|"&amp;Cuentas!$B$8:$B$500,0)),"")</f>
        <v>0</v>
      </c>
      <c r="G116" s="55"/>
      <c r="H116" s="83"/>
      <c r="I116" s="83"/>
      <c r="J116" s="55"/>
      <c r="K116" s="55"/>
    </row>
    <row r="117" customFormat="false" ht="18" hidden="false" customHeight="true" outlineLevel="0" collapsed="false">
      <c r="A117" s="54"/>
      <c r="B117" s="54"/>
      <c r="C117" s="80"/>
      <c r="D117" s="69" t="str">
        <f aca="false">IF(C117="","",MONTH(C117))</f>
        <v/>
      </c>
      <c r="E117" s="54"/>
      <c r="F117" s="54" t="n">
        <f aca="false">IFERROR(INDEX(Cuentas!$C$8:$C$500,MATCH(A117&amp;"|"&amp;E117,Cuentas!$A$8:$A$500&amp;"|"&amp;Cuentas!$B$8:$B$500,0)),"")</f>
        <v>0</v>
      </c>
      <c r="G117" s="54"/>
      <c r="H117" s="82"/>
      <c r="I117" s="82"/>
      <c r="J117" s="54"/>
      <c r="K117" s="54"/>
    </row>
    <row r="118" customFormat="false" ht="18" hidden="false" customHeight="true" outlineLevel="0" collapsed="false">
      <c r="A118" s="55"/>
      <c r="B118" s="55"/>
      <c r="C118" s="77"/>
      <c r="D118" s="67" t="str">
        <f aca="false">IF(C118="","",MONTH(C118))</f>
        <v/>
      </c>
      <c r="E118" s="55"/>
      <c r="F118" s="55" t="n">
        <f aca="false">IFERROR(INDEX(Cuentas!$C$8:$C$500,MATCH(A118&amp;"|"&amp;E118,Cuentas!$A$8:$A$500&amp;"|"&amp;Cuentas!$B$8:$B$500,0)),"")</f>
        <v>0</v>
      </c>
      <c r="G118" s="55"/>
      <c r="H118" s="83"/>
      <c r="I118" s="83"/>
      <c r="J118" s="55"/>
      <c r="K118" s="55"/>
    </row>
    <row r="119" customFormat="false" ht="18" hidden="false" customHeight="true" outlineLevel="0" collapsed="false">
      <c r="A119" s="54"/>
      <c r="B119" s="54"/>
      <c r="C119" s="80"/>
      <c r="D119" s="69" t="str">
        <f aca="false">IF(C119="","",MONTH(C119))</f>
        <v/>
      </c>
      <c r="E119" s="54"/>
      <c r="F119" s="54" t="n">
        <f aca="false">IFERROR(INDEX(Cuentas!$C$8:$C$500,MATCH(A119&amp;"|"&amp;E119,Cuentas!$A$8:$A$500&amp;"|"&amp;Cuentas!$B$8:$B$500,0)),"")</f>
        <v>0</v>
      </c>
      <c r="G119" s="54"/>
      <c r="H119" s="82"/>
      <c r="I119" s="82"/>
      <c r="J119" s="54"/>
      <c r="K119" s="54"/>
    </row>
    <row r="120" customFormat="false" ht="18" hidden="false" customHeight="true" outlineLevel="0" collapsed="false">
      <c r="A120" s="55"/>
      <c r="B120" s="55"/>
      <c r="C120" s="77"/>
      <c r="D120" s="67" t="str">
        <f aca="false">IF(C120="","",MONTH(C120))</f>
        <v/>
      </c>
      <c r="E120" s="55"/>
      <c r="F120" s="55" t="n">
        <f aca="false">IFERROR(INDEX(Cuentas!$C$8:$C$500,MATCH(A120&amp;"|"&amp;E120,Cuentas!$A$8:$A$500&amp;"|"&amp;Cuentas!$B$8:$B$500,0)),"")</f>
        <v>0</v>
      </c>
      <c r="G120" s="55"/>
      <c r="H120" s="83"/>
      <c r="I120" s="83"/>
      <c r="J120" s="55"/>
      <c r="K120" s="55"/>
    </row>
    <row r="121" customFormat="false" ht="18" hidden="false" customHeight="true" outlineLevel="0" collapsed="false">
      <c r="A121" s="54"/>
      <c r="B121" s="54"/>
      <c r="C121" s="80"/>
      <c r="D121" s="69" t="str">
        <f aca="false">IF(C121="","",MONTH(C121))</f>
        <v/>
      </c>
      <c r="E121" s="54"/>
      <c r="F121" s="54" t="n">
        <f aca="false">IFERROR(INDEX(Cuentas!$C$8:$C$500,MATCH(A121&amp;"|"&amp;E121,Cuentas!$A$8:$A$500&amp;"|"&amp;Cuentas!$B$8:$B$500,0)),"")</f>
        <v>0</v>
      </c>
      <c r="G121" s="54"/>
      <c r="H121" s="82"/>
      <c r="I121" s="82"/>
      <c r="J121" s="54"/>
      <c r="K121" s="54"/>
    </row>
    <row r="122" customFormat="false" ht="18" hidden="false" customHeight="true" outlineLevel="0" collapsed="false">
      <c r="A122" s="55"/>
      <c r="B122" s="55"/>
      <c r="C122" s="77"/>
      <c r="D122" s="67" t="str">
        <f aca="false">IF(C122="","",MONTH(C122))</f>
        <v/>
      </c>
      <c r="E122" s="55"/>
      <c r="F122" s="55" t="n">
        <f aca="false">IFERROR(INDEX(Cuentas!$C$8:$C$500,MATCH(A122&amp;"|"&amp;E122,Cuentas!$A$8:$A$500&amp;"|"&amp;Cuentas!$B$8:$B$500,0)),"")</f>
        <v>0</v>
      </c>
      <c r="G122" s="55"/>
      <c r="H122" s="83"/>
      <c r="I122" s="83"/>
      <c r="J122" s="55"/>
      <c r="K122" s="55"/>
    </row>
    <row r="123" customFormat="false" ht="18" hidden="false" customHeight="true" outlineLevel="0" collapsed="false">
      <c r="A123" s="54"/>
      <c r="B123" s="54"/>
      <c r="C123" s="80"/>
      <c r="D123" s="69" t="str">
        <f aca="false">IF(C123="","",MONTH(C123))</f>
        <v/>
      </c>
      <c r="E123" s="54"/>
      <c r="F123" s="54" t="n">
        <f aca="false">IFERROR(INDEX(Cuentas!$C$8:$C$500,MATCH(A123&amp;"|"&amp;E123,Cuentas!$A$8:$A$500&amp;"|"&amp;Cuentas!$B$8:$B$500,0)),"")</f>
        <v>0</v>
      </c>
      <c r="G123" s="54"/>
      <c r="H123" s="82"/>
      <c r="I123" s="82"/>
      <c r="J123" s="54"/>
      <c r="K123" s="54"/>
    </row>
    <row r="124" customFormat="false" ht="18" hidden="false" customHeight="true" outlineLevel="0" collapsed="false">
      <c r="A124" s="55"/>
      <c r="B124" s="55"/>
      <c r="C124" s="77"/>
      <c r="D124" s="67" t="str">
        <f aca="false">IF(C124="","",MONTH(C124))</f>
        <v/>
      </c>
      <c r="E124" s="55"/>
      <c r="F124" s="55" t="n">
        <f aca="false">IFERROR(INDEX(Cuentas!$C$8:$C$500,MATCH(A124&amp;"|"&amp;E124,Cuentas!$A$8:$A$500&amp;"|"&amp;Cuentas!$B$8:$B$500,0)),"")</f>
        <v>0</v>
      </c>
      <c r="G124" s="55"/>
      <c r="H124" s="83"/>
      <c r="I124" s="83"/>
      <c r="J124" s="55"/>
      <c r="K124" s="55"/>
    </row>
    <row r="125" customFormat="false" ht="18" hidden="false" customHeight="true" outlineLevel="0" collapsed="false">
      <c r="A125" s="54"/>
      <c r="B125" s="54"/>
      <c r="C125" s="80"/>
      <c r="D125" s="69" t="str">
        <f aca="false">IF(C125="","",MONTH(C125))</f>
        <v/>
      </c>
      <c r="E125" s="54"/>
      <c r="F125" s="54" t="n">
        <f aca="false">IFERROR(INDEX(Cuentas!$C$8:$C$500,MATCH(A125&amp;"|"&amp;E125,Cuentas!$A$8:$A$500&amp;"|"&amp;Cuentas!$B$8:$B$500,0)),"")</f>
        <v>0</v>
      </c>
      <c r="G125" s="54"/>
      <c r="H125" s="82"/>
      <c r="I125" s="82"/>
      <c r="J125" s="54"/>
      <c r="K125" s="54"/>
    </row>
    <row r="126" customFormat="false" ht="18" hidden="false" customHeight="true" outlineLevel="0" collapsed="false">
      <c r="A126" s="55"/>
      <c r="B126" s="55"/>
      <c r="C126" s="77"/>
      <c r="D126" s="67" t="str">
        <f aca="false">IF(C126="","",MONTH(C126))</f>
        <v/>
      </c>
      <c r="E126" s="55"/>
      <c r="F126" s="55" t="n">
        <f aca="false">IFERROR(INDEX(Cuentas!$C$8:$C$500,MATCH(A126&amp;"|"&amp;E126,Cuentas!$A$8:$A$500&amp;"|"&amp;Cuentas!$B$8:$B$500,0)),"")</f>
        <v>0</v>
      </c>
      <c r="G126" s="55"/>
      <c r="H126" s="83"/>
      <c r="I126" s="83"/>
      <c r="J126" s="55"/>
      <c r="K126" s="55"/>
    </row>
    <row r="127" customFormat="false" ht="18" hidden="false" customHeight="true" outlineLevel="0" collapsed="false">
      <c r="A127" s="54"/>
      <c r="B127" s="54"/>
      <c r="C127" s="80"/>
      <c r="D127" s="69" t="str">
        <f aca="false">IF(C127="","",MONTH(C127))</f>
        <v/>
      </c>
      <c r="E127" s="54"/>
      <c r="F127" s="54" t="n">
        <f aca="false">IFERROR(INDEX(Cuentas!$C$8:$C$500,MATCH(A127&amp;"|"&amp;E127,Cuentas!$A$8:$A$500&amp;"|"&amp;Cuentas!$B$8:$B$500,0)),"")</f>
        <v>0</v>
      </c>
      <c r="G127" s="54"/>
      <c r="H127" s="82"/>
      <c r="I127" s="82"/>
      <c r="J127" s="54"/>
      <c r="K127" s="54"/>
    </row>
    <row r="128" customFormat="false" ht="18" hidden="false" customHeight="true" outlineLevel="0" collapsed="false">
      <c r="A128" s="55"/>
      <c r="B128" s="55"/>
      <c r="C128" s="77"/>
      <c r="D128" s="67" t="str">
        <f aca="false">IF(C128="","",MONTH(C128))</f>
        <v/>
      </c>
      <c r="E128" s="55"/>
      <c r="F128" s="55" t="n">
        <f aca="false">IFERROR(INDEX(Cuentas!$C$8:$C$500,MATCH(A128&amp;"|"&amp;E128,Cuentas!$A$8:$A$500&amp;"|"&amp;Cuentas!$B$8:$B$500,0)),"")</f>
        <v>0</v>
      </c>
      <c r="G128" s="55"/>
      <c r="H128" s="83"/>
      <c r="I128" s="83"/>
      <c r="J128" s="55"/>
      <c r="K128" s="55"/>
    </row>
    <row r="129" customFormat="false" ht="18" hidden="false" customHeight="true" outlineLevel="0" collapsed="false">
      <c r="A129" s="54"/>
      <c r="B129" s="54"/>
      <c r="C129" s="80"/>
      <c r="D129" s="69" t="str">
        <f aca="false">IF(C129="","",MONTH(C129))</f>
        <v/>
      </c>
      <c r="E129" s="54"/>
      <c r="F129" s="54" t="n">
        <f aca="false">IFERROR(INDEX(Cuentas!$C$8:$C$500,MATCH(A129&amp;"|"&amp;E129,Cuentas!$A$8:$A$500&amp;"|"&amp;Cuentas!$B$8:$B$500,0)),"")</f>
        <v>0</v>
      </c>
      <c r="G129" s="54"/>
      <c r="H129" s="82"/>
      <c r="I129" s="82"/>
      <c r="J129" s="54"/>
      <c r="K129" s="54"/>
    </row>
    <row r="130" customFormat="false" ht="18" hidden="false" customHeight="true" outlineLevel="0" collapsed="false">
      <c r="A130" s="55"/>
      <c r="B130" s="55"/>
      <c r="C130" s="77"/>
      <c r="D130" s="67" t="str">
        <f aca="false">IF(C130="","",MONTH(C130))</f>
        <v/>
      </c>
      <c r="E130" s="55"/>
      <c r="F130" s="55" t="n">
        <f aca="false">IFERROR(INDEX(Cuentas!$C$8:$C$500,MATCH(A130&amp;"|"&amp;E130,Cuentas!$A$8:$A$500&amp;"|"&amp;Cuentas!$B$8:$B$500,0)),"")</f>
        <v>0</v>
      </c>
      <c r="G130" s="55"/>
      <c r="H130" s="83"/>
      <c r="I130" s="83"/>
      <c r="J130" s="55"/>
      <c r="K130" s="55"/>
    </row>
    <row r="131" customFormat="false" ht="18" hidden="false" customHeight="true" outlineLevel="0" collapsed="false">
      <c r="A131" s="54"/>
      <c r="B131" s="54"/>
      <c r="C131" s="80"/>
      <c r="D131" s="69" t="str">
        <f aca="false">IF(C131="","",MONTH(C131))</f>
        <v/>
      </c>
      <c r="E131" s="54"/>
      <c r="F131" s="54" t="n">
        <f aca="false">IFERROR(INDEX(Cuentas!$C$8:$C$500,MATCH(A131&amp;"|"&amp;E131,Cuentas!$A$8:$A$500&amp;"|"&amp;Cuentas!$B$8:$B$500,0)),"")</f>
        <v>0</v>
      </c>
      <c r="G131" s="54"/>
      <c r="H131" s="82"/>
      <c r="I131" s="82"/>
      <c r="J131" s="54"/>
      <c r="K131" s="54"/>
    </row>
    <row r="132" customFormat="false" ht="18" hidden="false" customHeight="true" outlineLevel="0" collapsed="false">
      <c r="A132" s="55"/>
      <c r="B132" s="55"/>
      <c r="C132" s="77"/>
      <c r="D132" s="67" t="str">
        <f aca="false">IF(C132="","",MONTH(C132))</f>
        <v/>
      </c>
      <c r="E132" s="55"/>
      <c r="F132" s="55" t="n">
        <f aca="false">IFERROR(INDEX(Cuentas!$C$8:$C$500,MATCH(A132&amp;"|"&amp;E132,Cuentas!$A$8:$A$500&amp;"|"&amp;Cuentas!$B$8:$B$500,0)),"")</f>
        <v>0</v>
      </c>
      <c r="G132" s="55"/>
      <c r="H132" s="83"/>
      <c r="I132" s="83"/>
      <c r="J132" s="55"/>
      <c r="K132" s="55"/>
    </row>
    <row r="133" customFormat="false" ht="18" hidden="false" customHeight="true" outlineLevel="0" collapsed="false">
      <c r="A133" s="54"/>
      <c r="B133" s="54"/>
      <c r="C133" s="80"/>
      <c r="D133" s="69" t="str">
        <f aca="false">IF(C133="","",MONTH(C133))</f>
        <v/>
      </c>
      <c r="E133" s="54"/>
      <c r="F133" s="54" t="n">
        <f aca="false">IFERROR(INDEX(Cuentas!$C$8:$C$500,MATCH(A133&amp;"|"&amp;E133,Cuentas!$A$8:$A$500&amp;"|"&amp;Cuentas!$B$8:$B$500,0)),"")</f>
        <v>0</v>
      </c>
      <c r="G133" s="54"/>
      <c r="H133" s="82"/>
      <c r="I133" s="82"/>
      <c r="J133" s="54"/>
      <c r="K133" s="54"/>
    </row>
    <row r="134" customFormat="false" ht="18" hidden="false" customHeight="true" outlineLevel="0" collapsed="false">
      <c r="A134" s="55"/>
      <c r="B134" s="55"/>
      <c r="C134" s="77"/>
      <c r="D134" s="67" t="str">
        <f aca="false">IF(C134="","",MONTH(C134))</f>
        <v/>
      </c>
      <c r="E134" s="55"/>
      <c r="F134" s="55" t="n">
        <f aca="false">IFERROR(INDEX(Cuentas!$C$8:$C$500,MATCH(A134&amp;"|"&amp;E134,Cuentas!$A$8:$A$500&amp;"|"&amp;Cuentas!$B$8:$B$500,0)),"")</f>
        <v>0</v>
      </c>
      <c r="G134" s="55"/>
      <c r="H134" s="83"/>
      <c r="I134" s="83"/>
      <c r="J134" s="55"/>
      <c r="K134" s="55"/>
    </row>
    <row r="135" customFormat="false" ht="18" hidden="false" customHeight="true" outlineLevel="0" collapsed="false">
      <c r="A135" s="54"/>
      <c r="B135" s="54"/>
      <c r="C135" s="80"/>
      <c r="D135" s="69" t="str">
        <f aca="false">IF(C135="","",MONTH(C135))</f>
        <v/>
      </c>
      <c r="E135" s="54"/>
      <c r="F135" s="54" t="n">
        <f aca="false">IFERROR(INDEX(Cuentas!$C$8:$C$500,MATCH(A135&amp;"|"&amp;E135,Cuentas!$A$8:$A$500&amp;"|"&amp;Cuentas!$B$8:$B$500,0)),"")</f>
        <v>0</v>
      </c>
      <c r="G135" s="54"/>
      <c r="H135" s="82"/>
      <c r="I135" s="82"/>
      <c r="J135" s="54"/>
      <c r="K135" s="54"/>
    </row>
    <row r="136" customFormat="false" ht="18" hidden="false" customHeight="true" outlineLevel="0" collapsed="false">
      <c r="A136" s="55"/>
      <c r="B136" s="55"/>
      <c r="C136" s="77"/>
      <c r="D136" s="67" t="str">
        <f aca="false">IF(C136="","",MONTH(C136))</f>
        <v/>
      </c>
      <c r="E136" s="55"/>
      <c r="F136" s="55" t="n">
        <f aca="false">IFERROR(INDEX(Cuentas!$C$8:$C$500,MATCH(A136&amp;"|"&amp;E136,Cuentas!$A$8:$A$500&amp;"|"&amp;Cuentas!$B$8:$B$500,0)),"")</f>
        <v>0</v>
      </c>
      <c r="G136" s="55"/>
      <c r="H136" s="83"/>
      <c r="I136" s="83"/>
      <c r="J136" s="55"/>
      <c r="K136" s="55"/>
    </row>
    <row r="137" customFormat="false" ht="18" hidden="false" customHeight="true" outlineLevel="0" collapsed="false">
      <c r="A137" s="54"/>
      <c r="B137" s="54"/>
      <c r="C137" s="80"/>
      <c r="D137" s="69" t="str">
        <f aca="false">IF(C137="","",MONTH(C137))</f>
        <v/>
      </c>
      <c r="E137" s="54"/>
      <c r="F137" s="54" t="n">
        <f aca="false">IFERROR(INDEX(Cuentas!$C$8:$C$500,MATCH(A137&amp;"|"&amp;E137,Cuentas!$A$8:$A$500&amp;"|"&amp;Cuentas!$B$8:$B$500,0)),"")</f>
        <v>0</v>
      </c>
      <c r="G137" s="54"/>
      <c r="H137" s="82"/>
      <c r="I137" s="82"/>
      <c r="J137" s="54"/>
      <c r="K137" s="54"/>
    </row>
    <row r="138" customFormat="false" ht="18" hidden="false" customHeight="true" outlineLevel="0" collapsed="false">
      <c r="A138" s="55"/>
      <c r="B138" s="55"/>
      <c r="C138" s="77"/>
      <c r="D138" s="67" t="str">
        <f aca="false">IF(C138="","",MONTH(C138))</f>
        <v/>
      </c>
      <c r="E138" s="55"/>
      <c r="F138" s="55" t="n">
        <f aca="false">IFERROR(INDEX(Cuentas!$C$8:$C$500,MATCH(A138&amp;"|"&amp;E138,Cuentas!$A$8:$A$500&amp;"|"&amp;Cuentas!$B$8:$B$500,0)),"")</f>
        <v>0</v>
      </c>
      <c r="G138" s="55"/>
      <c r="H138" s="83"/>
      <c r="I138" s="83"/>
      <c r="J138" s="55"/>
      <c r="K138" s="55"/>
    </row>
    <row r="139" customFormat="false" ht="18" hidden="false" customHeight="true" outlineLevel="0" collapsed="false">
      <c r="A139" s="54"/>
      <c r="B139" s="54"/>
      <c r="C139" s="80"/>
      <c r="D139" s="69" t="str">
        <f aca="false">IF(C139="","",MONTH(C139))</f>
        <v/>
      </c>
      <c r="E139" s="54"/>
      <c r="F139" s="54" t="n">
        <f aca="false">IFERROR(INDEX(Cuentas!$C$8:$C$500,MATCH(A139&amp;"|"&amp;E139,Cuentas!$A$8:$A$500&amp;"|"&amp;Cuentas!$B$8:$B$500,0)),"")</f>
        <v>0</v>
      </c>
      <c r="G139" s="54"/>
      <c r="H139" s="82"/>
      <c r="I139" s="82"/>
      <c r="J139" s="54"/>
      <c r="K139" s="54"/>
    </row>
    <row r="140" customFormat="false" ht="18" hidden="false" customHeight="true" outlineLevel="0" collapsed="false">
      <c r="A140" s="55"/>
      <c r="B140" s="55"/>
      <c r="C140" s="77"/>
      <c r="D140" s="67" t="str">
        <f aca="false">IF(C140="","",MONTH(C140))</f>
        <v/>
      </c>
      <c r="E140" s="55"/>
      <c r="F140" s="55" t="n">
        <f aca="false">IFERROR(INDEX(Cuentas!$C$8:$C$500,MATCH(A140&amp;"|"&amp;E140,Cuentas!$A$8:$A$500&amp;"|"&amp;Cuentas!$B$8:$B$500,0)),"")</f>
        <v>0</v>
      </c>
      <c r="G140" s="55"/>
      <c r="H140" s="83"/>
      <c r="I140" s="83"/>
      <c r="J140" s="55"/>
      <c r="K140" s="55"/>
    </row>
    <row r="141" customFormat="false" ht="18" hidden="false" customHeight="true" outlineLevel="0" collapsed="false">
      <c r="A141" s="54"/>
      <c r="B141" s="54"/>
      <c r="C141" s="80"/>
      <c r="D141" s="69" t="str">
        <f aca="false">IF(C141="","",MONTH(C141))</f>
        <v/>
      </c>
      <c r="E141" s="54"/>
      <c r="F141" s="54" t="n">
        <f aca="false">IFERROR(INDEX(Cuentas!$C$8:$C$500,MATCH(A141&amp;"|"&amp;E141,Cuentas!$A$8:$A$500&amp;"|"&amp;Cuentas!$B$8:$B$500,0)),"")</f>
        <v>0</v>
      </c>
      <c r="G141" s="54"/>
      <c r="H141" s="82"/>
      <c r="I141" s="82"/>
      <c r="J141" s="54"/>
      <c r="K141" s="54"/>
    </row>
    <row r="142" customFormat="false" ht="18" hidden="false" customHeight="true" outlineLevel="0" collapsed="false">
      <c r="A142" s="55"/>
      <c r="B142" s="55"/>
      <c r="C142" s="77"/>
      <c r="D142" s="67" t="str">
        <f aca="false">IF(C142="","",MONTH(C142))</f>
        <v/>
      </c>
      <c r="E142" s="55"/>
      <c r="F142" s="55" t="n">
        <f aca="false">IFERROR(INDEX(Cuentas!$C$8:$C$500,MATCH(A142&amp;"|"&amp;E142,Cuentas!$A$8:$A$500&amp;"|"&amp;Cuentas!$B$8:$B$500,0)),"")</f>
        <v>0</v>
      </c>
      <c r="G142" s="55"/>
      <c r="H142" s="83"/>
      <c r="I142" s="83"/>
      <c r="J142" s="55"/>
      <c r="K142" s="55"/>
    </row>
    <row r="143" customFormat="false" ht="18" hidden="false" customHeight="true" outlineLevel="0" collapsed="false">
      <c r="A143" s="54"/>
      <c r="B143" s="54"/>
      <c r="C143" s="80"/>
      <c r="D143" s="69" t="str">
        <f aca="false">IF(C143="","",MONTH(C143))</f>
        <v/>
      </c>
      <c r="E143" s="54"/>
      <c r="F143" s="54" t="n">
        <f aca="false">IFERROR(INDEX(Cuentas!$C$8:$C$500,MATCH(A143&amp;"|"&amp;E143,Cuentas!$A$8:$A$500&amp;"|"&amp;Cuentas!$B$8:$B$500,0)),"")</f>
        <v>0</v>
      </c>
      <c r="G143" s="54"/>
      <c r="H143" s="82"/>
      <c r="I143" s="82"/>
      <c r="J143" s="54"/>
      <c r="K143" s="54"/>
    </row>
    <row r="144" customFormat="false" ht="18" hidden="false" customHeight="true" outlineLevel="0" collapsed="false">
      <c r="A144" s="55"/>
      <c r="B144" s="55"/>
      <c r="C144" s="77"/>
      <c r="D144" s="67" t="str">
        <f aca="false">IF(C144="","",MONTH(C144))</f>
        <v/>
      </c>
      <c r="E144" s="55"/>
      <c r="F144" s="55" t="n">
        <f aca="false">IFERROR(INDEX(Cuentas!$C$8:$C$500,MATCH(A144&amp;"|"&amp;E144,Cuentas!$A$8:$A$500&amp;"|"&amp;Cuentas!$B$8:$B$500,0)),"")</f>
        <v>0</v>
      </c>
      <c r="G144" s="55"/>
      <c r="H144" s="83"/>
      <c r="I144" s="83"/>
      <c r="J144" s="55"/>
      <c r="K144" s="55"/>
    </row>
    <row r="145" customFormat="false" ht="18" hidden="false" customHeight="true" outlineLevel="0" collapsed="false">
      <c r="A145" s="54"/>
      <c r="B145" s="54"/>
      <c r="C145" s="80"/>
      <c r="D145" s="69" t="str">
        <f aca="false">IF(C145="","",MONTH(C145))</f>
        <v/>
      </c>
      <c r="E145" s="54"/>
      <c r="F145" s="54" t="n">
        <f aca="false">IFERROR(INDEX(Cuentas!$C$8:$C$500,MATCH(A145&amp;"|"&amp;E145,Cuentas!$A$8:$A$500&amp;"|"&amp;Cuentas!$B$8:$B$500,0)),"")</f>
        <v>0</v>
      </c>
      <c r="G145" s="54"/>
      <c r="H145" s="82"/>
      <c r="I145" s="82"/>
      <c r="J145" s="54"/>
      <c r="K145" s="54"/>
    </row>
    <row r="146" customFormat="false" ht="18" hidden="false" customHeight="true" outlineLevel="0" collapsed="false">
      <c r="A146" s="55"/>
      <c r="B146" s="55"/>
      <c r="C146" s="77"/>
      <c r="D146" s="67" t="str">
        <f aca="false">IF(C146="","",MONTH(C146))</f>
        <v/>
      </c>
      <c r="E146" s="55"/>
      <c r="F146" s="55" t="n">
        <f aca="false">IFERROR(INDEX(Cuentas!$C$8:$C$500,MATCH(A146&amp;"|"&amp;E146,Cuentas!$A$8:$A$500&amp;"|"&amp;Cuentas!$B$8:$B$500,0)),"")</f>
        <v>0</v>
      </c>
      <c r="G146" s="55"/>
      <c r="H146" s="83"/>
      <c r="I146" s="83"/>
      <c r="J146" s="55"/>
      <c r="K146" s="55"/>
    </row>
    <row r="147" customFormat="false" ht="18" hidden="false" customHeight="true" outlineLevel="0" collapsed="false">
      <c r="A147" s="54"/>
      <c r="B147" s="54"/>
      <c r="C147" s="80"/>
      <c r="D147" s="69" t="str">
        <f aca="false">IF(C147="","",MONTH(C147))</f>
        <v/>
      </c>
      <c r="E147" s="54"/>
      <c r="F147" s="54" t="n">
        <f aca="false">IFERROR(INDEX(Cuentas!$C$8:$C$500,MATCH(A147&amp;"|"&amp;E147,Cuentas!$A$8:$A$500&amp;"|"&amp;Cuentas!$B$8:$B$500,0)),"")</f>
        <v>0</v>
      </c>
      <c r="G147" s="54"/>
      <c r="H147" s="82"/>
      <c r="I147" s="82"/>
      <c r="J147" s="54"/>
      <c r="K147" s="54"/>
    </row>
    <row r="148" customFormat="false" ht="18" hidden="false" customHeight="true" outlineLevel="0" collapsed="false">
      <c r="A148" s="55"/>
      <c r="B148" s="55"/>
      <c r="C148" s="77"/>
      <c r="D148" s="67" t="str">
        <f aca="false">IF(C148="","",MONTH(C148))</f>
        <v/>
      </c>
      <c r="E148" s="55"/>
      <c r="F148" s="55" t="n">
        <f aca="false">IFERROR(INDEX(Cuentas!$C$8:$C$500,MATCH(A148&amp;"|"&amp;E148,Cuentas!$A$8:$A$500&amp;"|"&amp;Cuentas!$B$8:$B$500,0)),"")</f>
        <v>0</v>
      </c>
      <c r="G148" s="55"/>
      <c r="H148" s="83"/>
      <c r="I148" s="83"/>
      <c r="J148" s="55"/>
      <c r="K148" s="55"/>
    </row>
    <row r="149" customFormat="false" ht="18" hidden="false" customHeight="true" outlineLevel="0" collapsed="false">
      <c r="A149" s="54"/>
      <c r="B149" s="54"/>
      <c r="C149" s="80"/>
      <c r="D149" s="69" t="str">
        <f aca="false">IF(C149="","",MONTH(C149))</f>
        <v/>
      </c>
      <c r="E149" s="54"/>
      <c r="F149" s="54" t="n">
        <f aca="false">IFERROR(INDEX(Cuentas!$C$8:$C$500,MATCH(A149&amp;"|"&amp;E149,Cuentas!$A$8:$A$500&amp;"|"&amp;Cuentas!$B$8:$B$500,0)),"")</f>
        <v>0</v>
      </c>
      <c r="G149" s="54"/>
      <c r="H149" s="82"/>
      <c r="I149" s="82"/>
      <c r="J149" s="54"/>
      <c r="K149" s="54"/>
    </row>
    <row r="150" customFormat="false" ht="18" hidden="false" customHeight="true" outlineLevel="0" collapsed="false">
      <c r="A150" s="55"/>
      <c r="B150" s="55"/>
      <c r="C150" s="77"/>
      <c r="D150" s="67" t="str">
        <f aca="false">IF(C150="","",MONTH(C150))</f>
        <v/>
      </c>
      <c r="E150" s="55"/>
      <c r="F150" s="55" t="n">
        <f aca="false">IFERROR(INDEX(Cuentas!$C$8:$C$500,MATCH(A150&amp;"|"&amp;E150,Cuentas!$A$8:$A$500&amp;"|"&amp;Cuentas!$B$8:$B$500,0)),"")</f>
        <v>0</v>
      </c>
      <c r="G150" s="55"/>
      <c r="H150" s="83"/>
      <c r="I150" s="83"/>
      <c r="J150" s="55"/>
      <c r="K150" s="55"/>
    </row>
    <row r="151" customFormat="false" ht="18" hidden="false" customHeight="true" outlineLevel="0" collapsed="false">
      <c r="A151" s="54"/>
      <c r="B151" s="54"/>
      <c r="C151" s="80"/>
      <c r="D151" s="69" t="str">
        <f aca="false">IF(C151="","",MONTH(C151))</f>
        <v/>
      </c>
      <c r="E151" s="54"/>
      <c r="F151" s="54" t="n">
        <f aca="false">IFERROR(INDEX(Cuentas!$C$8:$C$500,MATCH(A151&amp;"|"&amp;E151,Cuentas!$A$8:$A$500&amp;"|"&amp;Cuentas!$B$8:$B$500,0)),"")</f>
        <v>0</v>
      </c>
      <c r="G151" s="54"/>
      <c r="H151" s="82"/>
      <c r="I151" s="82"/>
      <c r="J151" s="54"/>
      <c r="K151" s="54"/>
    </row>
    <row r="152" customFormat="false" ht="18" hidden="false" customHeight="true" outlineLevel="0" collapsed="false">
      <c r="A152" s="55"/>
      <c r="B152" s="55"/>
      <c r="C152" s="77"/>
      <c r="D152" s="67" t="str">
        <f aca="false">IF(C152="","",MONTH(C152))</f>
        <v/>
      </c>
      <c r="E152" s="55"/>
      <c r="F152" s="55" t="n">
        <f aca="false">IFERROR(INDEX(Cuentas!$C$8:$C$500,MATCH(A152&amp;"|"&amp;E152,Cuentas!$A$8:$A$500&amp;"|"&amp;Cuentas!$B$8:$B$500,0)),"")</f>
        <v>0</v>
      </c>
      <c r="G152" s="55"/>
      <c r="H152" s="83"/>
      <c r="I152" s="83"/>
      <c r="J152" s="55"/>
      <c r="K152" s="55"/>
    </row>
    <row r="153" customFormat="false" ht="18" hidden="false" customHeight="true" outlineLevel="0" collapsed="false">
      <c r="A153" s="54"/>
      <c r="B153" s="54"/>
      <c r="C153" s="80"/>
      <c r="D153" s="69" t="str">
        <f aca="false">IF(C153="","",MONTH(C153))</f>
        <v/>
      </c>
      <c r="E153" s="54"/>
      <c r="F153" s="54" t="n">
        <f aca="false">IFERROR(INDEX(Cuentas!$C$8:$C$500,MATCH(A153&amp;"|"&amp;E153,Cuentas!$A$8:$A$500&amp;"|"&amp;Cuentas!$B$8:$B$500,0)),"")</f>
        <v>0</v>
      </c>
      <c r="G153" s="54"/>
      <c r="H153" s="82"/>
      <c r="I153" s="82"/>
      <c r="J153" s="54"/>
      <c r="K153" s="54"/>
    </row>
    <row r="154" customFormat="false" ht="18" hidden="false" customHeight="true" outlineLevel="0" collapsed="false">
      <c r="A154" s="55"/>
      <c r="B154" s="55"/>
      <c r="C154" s="77"/>
      <c r="D154" s="67" t="str">
        <f aca="false">IF(C154="","",MONTH(C154))</f>
        <v/>
      </c>
      <c r="E154" s="55"/>
      <c r="F154" s="55" t="n">
        <f aca="false">IFERROR(INDEX(Cuentas!$C$8:$C$500,MATCH(A154&amp;"|"&amp;E154,Cuentas!$A$8:$A$500&amp;"|"&amp;Cuentas!$B$8:$B$500,0)),"")</f>
        <v>0</v>
      </c>
      <c r="G154" s="55"/>
      <c r="H154" s="83"/>
      <c r="I154" s="83"/>
      <c r="J154" s="55"/>
      <c r="K154" s="55"/>
    </row>
    <row r="155" customFormat="false" ht="18" hidden="false" customHeight="true" outlineLevel="0" collapsed="false">
      <c r="A155" s="54"/>
      <c r="B155" s="54"/>
      <c r="C155" s="80"/>
      <c r="D155" s="69" t="str">
        <f aca="false">IF(C155="","",MONTH(C155))</f>
        <v/>
      </c>
      <c r="E155" s="54"/>
      <c r="F155" s="54" t="n">
        <f aca="false">IFERROR(INDEX(Cuentas!$C$8:$C$500,MATCH(A155&amp;"|"&amp;E155,Cuentas!$A$8:$A$500&amp;"|"&amp;Cuentas!$B$8:$B$500,0)),"")</f>
        <v>0</v>
      </c>
      <c r="G155" s="54"/>
      <c r="H155" s="82"/>
      <c r="I155" s="82"/>
      <c r="J155" s="54"/>
      <c r="K155" s="54"/>
    </row>
    <row r="156" customFormat="false" ht="18" hidden="false" customHeight="true" outlineLevel="0" collapsed="false">
      <c r="A156" s="55"/>
      <c r="B156" s="55"/>
      <c r="C156" s="77"/>
      <c r="D156" s="67" t="str">
        <f aca="false">IF(C156="","",MONTH(C156))</f>
        <v/>
      </c>
      <c r="E156" s="55"/>
      <c r="F156" s="55" t="n">
        <f aca="false">IFERROR(INDEX(Cuentas!$C$8:$C$500,MATCH(A156&amp;"|"&amp;E156,Cuentas!$A$8:$A$500&amp;"|"&amp;Cuentas!$B$8:$B$500,0)),"")</f>
        <v>0</v>
      </c>
      <c r="G156" s="55"/>
      <c r="H156" s="83"/>
      <c r="I156" s="83"/>
      <c r="J156" s="55"/>
      <c r="K156" s="55"/>
    </row>
    <row r="157" customFormat="false" ht="18" hidden="false" customHeight="true" outlineLevel="0" collapsed="false">
      <c r="A157" s="54"/>
      <c r="B157" s="54"/>
      <c r="C157" s="80"/>
      <c r="D157" s="69" t="str">
        <f aca="false">IF(C157="","",MONTH(C157))</f>
        <v/>
      </c>
      <c r="E157" s="54"/>
      <c r="F157" s="54" t="n">
        <f aca="false">IFERROR(INDEX(Cuentas!$C$8:$C$500,MATCH(A157&amp;"|"&amp;E157,Cuentas!$A$8:$A$500&amp;"|"&amp;Cuentas!$B$8:$B$500,0)),"")</f>
        <v>0</v>
      </c>
      <c r="G157" s="54"/>
      <c r="H157" s="82"/>
      <c r="I157" s="82"/>
      <c r="J157" s="54"/>
      <c r="K157" s="54"/>
    </row>
    <row r="158" customFormat="false" ht="18" hidden="false" customHeight="true" outlineLevel="0" collapsed="false">
      <c r="A158" s="55"/>
      <c r="B158" s="55"/>
      <c r="C158" s="77"/>
      <c r="D158" s="67" t="str">
        <f aca="false">IF(C158="","",MONTH(C158))</f>
        <v/>
      </c>
      <c r="E158" s="55"/>
      <c r="F158" s="55" t="n">
        <f aca="false">IFERROR(INDEX(Cuentas!$C$8:$C$500,MATCH(A158&amp;"|"&amp;E158,Cuentas!$A$8:$A$500&amp;"|"&amp;Cuentas!$B$8:$B$500,0)),"")</f>
        <v>0</v>
      </c>
      <c r="G158" s="55"/>
      <c r="H158" s="83"/>
      <c r="I158" s="83"/>
      <c r="J158" s="55"/>
      <c r="K158" s="55"/>
    </row>
    <row r="159" customFormat="false" ht="18" hidden="false" customHeight="true" outlineLevel="0" collapsed="false">
      <c r="A159" s="54"/>
      <c r="B159" s="54"/>
      <c r="C159" s="80"/>
      <c r="D159" s="69" t="str">
        <f aca="false">IF(C159="","",MONTH(C159))</f>
        <v/>
      </c>
      <c r="E159" s="54"/>
      <c r="F159" s="54" t="n">
        <f aca="false">IFERROR(INDEX(Cuentas!$C$8:$C$500,MATCH(A159&amp;"|"&amp;E159,Cuentas!$A$8:$A$500&amp;"|"&amp;Cuentas!$B$8:$B$500,0)),"")</f>
        <v>0</v>
      </c>
      <c r="G159" s="54"/>
      <c r="H159" s="82"/>
      <c r="I159" s="82"/>
      <c r="J159" s="54"/>
      <c r="K159" s="54"/>
    </row>
    <row r="160" customFormat="false" ht="18" hidden="false" customHeight="true" outlineLevel="0" collapsed="false">
      <c r="A160" s="55"/>
      <c r="B160" s="55"/>
      <c r="C160" s="77"/>
      <c r="D160" s="67" t="str">
        <f aca="false">IF(C160="","",MONTH(C160))</f>
        <v/>
      </c>
      <c r="E160" s="55"/>
      <c r="F160" s="55" t="n">
        <f aca="false">IFERROR(INDEX(Cuentas!$C$8:$C$500,MATCH(A160&amp;"|"&amp;E160,Cuentas!$A$8:$A$500&amp;"|"&amp;Cuentas!$B$8:$B$500,0)),"")</f>
        <v>0</v>
      </c>
      <c r="G160" s="55"/>
      <c r="H160" s="83"/>
      <c r="I160" s="83"/>
      <c r="J160" s="55"/>
      <c r="K160" s="55"/>
    </row>
    <row r="161" customFormat="false" ht="18" hidden="false" customHeight="true" outlineLevel="0" collapsed="false">
      <c r="A161" s="54"/>
      <c r="B161" s="54"/>
      <c r="C161" s="80"/>
      <c r="D161" s="69" t="str">
        <f aca="false">IF(C161="","",MONTH(C161))</f>
        <v/>
      </c>
      <c r="E161" s="54"/>
      <c r="F161" s="54" t="n">
        <f aca="false">IFERROR(INDEX(Cuentas!$C$8:$C$500,MATCH(A161&amp;"|"&amp;E161,Cuentas!$A$8:$A$500&amp;"|"&amp;Cuentas!$B$8:$B$500,0)),"")</f>
        <v>0</v>
      </c>
      <c r="G161" s="54"/>
      <c r="H161" s="82"/>
      <c r="I161" s="82"/>
      <c r="J161" s="54"/>
      <c r="K161" s="54"/>
    </row>
    <row r="162" customFormat="false" ht="18" hidden="false" customHeight="true" outlineLevel="0" collapsed="false">
      <c r="A162" s="55"/>
      <c r="B162" s="55"/>
      <c r="C162" s="77"/>
      <c r="D162" s="67" t="str">
        <f aca="false">IF(C162="","",MONTH(C162))</f>
        <v/>
      </c>
      <c r="E162" s="55"/>
      <c r="F162" s="55" t="n">
        <f aca="false">IFERROR(INDEX(Cuentas!$C$8:$C$500,MATCH(A162&amp;"|"&amp;E162,Cuentas!$A$8:$A$500&amp;"|"&amp;Cuentas!$B$8:$B$500,0)),"")</f>
        <v>0</v>
      </c>
      <c r="G162" s="55"/>
      <c r="H162" s="83"/>
      <c r="I162" s="83"/>
      <c r="J162" s="55"/>
      <c r="K162" s="55"/>
    </row>
    <row r="163" customFormat="false" ht="18" hidden="false" customHeight="true" outlineLevel="0" collapsed="false">
      <c r="A163" s="54"/>
      <c r="B163" s="54"/>
      <c r="C163" s="80"/>
      <c r="D163" s="69" t="str">
        <f aca="false">IF(C163="","",MONTH(C163))</f>
        <v/>
      </c>
      <c r="E163" s="54"/>
      <c r="F163" s="54" t="n">
        <f aca="false">IFERROR(INDEX(Cuentas!$C$8:$C$500,MATCH(A163&amp;"|"&amp;E163,Cuentas!$A$8:$A$500&amp;"|"&amp;Cuentas!$B$8:$B$500,0)),"")</f>
        <v>0</v>
      </c>
      <c r="G163" s="54"/>
      <c r="H163" s="82"/>
      <c r="I163" s="82"/>
      <c r="J163" s="54"/>
      <c r="K163" s="54"/>
    </row>
    <row r="164" customFormat="false" ht="18" hidden="false" customHeight="true" outlineLevel="0" collapsed="false">
      <c r="A164" s="55"/>
      <c r="B164" s="55"/>
      <c r="C164" s="77"/>
      <c r="D164" s="67" t="str">
        <f aca="false">IF(C164="","",MONTH(C164))</f>
        <v/>
      </c>
      <c r="E164" s="55"/>
      <c r="F164" s="55" t="n">
        <f aca="false">IFERROR(INDEX(Cuentas!$C$8:$C$500,MATCH(A164&amp;"|"&amp;E164,Cuentas!$A$8:$A$500&amp;"|"&amp;Cuentas!$B$8:$B$500,0)),"")</f>
        <v>0</v>
      </c>
      <c r="G164" s="55"/>
      <c r="H164" s="83"/>
      <c r="I164" s="83"/>
      <c r="J164" s="55"/>
      <c r="K164" s="55"/>
    </row>
    <row r="165" customFormat="false" ht="18" hidden="false" customHeight="true" outlineLevel="0" collapsed="false">
      <c r="A165" s="54"/>
      <c r="B165" s="54"/>
      <c r="C165" s="80"/>
      <c r="D165" s="69" t="str">
        <f aca="false">IF(C165="","",MONTH(C165))</f>
        <v/>
      </c>
      <c r="E165" s="54"/>
      <c r="F165" s="54" t="n">
        <f aca="false">IFERROR(INDEX(Cuentas!$C$8:$C$500,MATCH(A165&amp;"|"&amp;E165,Cuentas!$A$8:$A$500&amp;"|"&amp;Cuentas!$B$8:$B$500,0)),"")</f>
        <v>0</v>
      </c>
      <c r="G165" s="54"/>
      <c r="H165" s="82"/>
      <c r="I165" s="82"/>
      <c r="J165" s="54"/>
      <c r="K165" s="54"/>
    </row>
    <row r="166" customFormat="false" ht="18" hidden="false" customHeight="true" outlineLevel="0" collapsed="false">
      <c r="A166" s="55"/>
      <c r="B166" s="55"/>
      <c r="C166" s="77"/>
      <c r="D166" s="67" t="str">
        <f aca="false">IF(C166="","",MONTH(C166))</f>
        <v/>
      </c>
      <c r="E166" s="55"/>
      <c r="F166" s="55" t="n">
        <f aca="false">IFERROR(INDEX(Cuentas!$C$8:$C$500,MATCH(A166&amp;"|"&amp;E166,Cuentas!$A$8:$A$500&amp;"|"&amp;Cuentas!$B$8:$B$500,0)),"")</f>
        <v>0</v>
      </c>
      <c r="G166" s="55"/>
      <c r="H166" s="83"/>
      <c r="I166" s="83"/>
      <c r="J166" s="55"/>
      <c r="K166" s="55"/>
    </row>
    <row r="167" customFormat="false" ht="18" hidden="false" customHeight="true" outlineLevel="0" collapsed="false">
      <c r="A167" s="54"/>
      <c r="B167" s="54"/>
      <c r="C167" s="80"/>
      <c r="D167" s="69" t="str">
        <f aca="false">IF(C167="","",MONTH(C167))</f>
        <v/>
      </c>
      <c r="E167" s="54"/>
      <c r="F167" s="54" t="n">
        <f aca="false">IFERROR(INDEX(Cuentas!$C$8:$C$500,MATCH(A167&amp;"|"&amp;E167,Cuentas!$A$8:$A$500&amp;"|"&amp;Cuentas!$B$8:$B$500,0)),"")</f>
        <v>0</v>
      </c>
      <c r="G167" s="54"/>
      <c r="H167" s="82"/>
      <c r="I167" s="82"/>
      <c r="J167" s="54"/>
      <c r="K167" s="54"/>
    </row>
    <row r="168" customFormat="false" ht="18" hidden="false" customHeight="true" outlineLevel="0" collapsed="false">
      <c r="A168" s="55"/>
      <c r="B168" s="55"/>
      <c r="C168" s="77"/>
      <c r="D168" s="67" t="str">
        <f aca="false">IF(C168="","",MONTH(C168))</f>
        <v/>
      </c>
      <c r="E168" s="55"/>
      <c r="F168" s="55" t="n">
        <f aca="false">IFERROR(INDEX(Cuentas!$C$8:$C$500,MATCH(A168&amp;"|"&amp;E168,Cuentas!$A$8:$A$500&amp;"|"&amp;Cuentas!$B$8:$B$500,0)),"")</f>
        <v>0</v>
      </c>
      <c r="G168" s="55"/>
      <c r="H168" s="83"/>
      <c r="I168" s="83"/>
      <c r="J168" s="55"/>
      <c r="K168" s="55"/>
    </row>
    <row r="169" customFormat="false" ht="18" hidden="false" customHeight="true" outlineLevel="0" collapsed="false">
      <c r="A169" s="54"/>
      <c r="B169" s="54"/>
      <c r="C169" s="80"/>
      <c r="D169" s="69" t="str">
        <f aca="false">IF(C169="","",MONTH(C169))</f>
        <v/>
      </c>
      <c r="E169" s="54"/>
      <c r="F169" s="54" t="n">
        <f aca="false">IFERROR(INDEX(Cuentas!$C$8:$C$500,MATCH(A169&amp;"|"&amp;E169,Cuentas!$A$8:$A$500&amp;"|"&amp;Cuentas!$B$8:$B$500,0)),"")</f>
        <v>0</v>
      </c>
      <c r="G169" s="54"/>
      <c r="H169" s="82"/>
      <c r="I169" s="82"/>
      <c r="J169" s="54"/>
      <c r="K169" s="54"/>
    </row>
    <row r="170" customFormat="false" ht="18" hidden="false" customHeight="true" outlineLevel="0" collapsed="false">
      <c r="A170" s="55"/>
      <c r="B170" s="55"/>
      <c r="C170" s="77"/>
      <c r="D170" s="67" t="str">
        <f aca="false">IF(C170="","",MONTH(C170))</f>
        <v/>
      </c>
      <c r="E170" s="55"/>
      <c r="F170" s="55" t="n">
        <f aca="false">IFERROR(INDEX(Cuentas!$C$8:$C$500,MATCH(A170&amp;"|"&amp;E170,Cuentas!$A$8:$A$500&amp;"|"&amp;Cuentas!$B$8:$B$500,0)),"")</f>
        <v>0</v>
      </c>
      <c r="G170" s="55"/>
      <c r="H170" s="83"/>
      <c r="I170" s="83"/>
      <c r="J170" s="55"/>
      <c r="K170" s="55"/>
    </row>
    <row r="171" customFormat="false" ht="18" hidden="false" customHeight="true" outlineLevel="0" collapsed="false">
      <c r="A171" s="54"/>
      <c r="B171" s="54"/>
      <c r="C171" s="80"/>
      <c r="D171" s="69" t="str">
        <f aca="false">IF(C171="","",MONTH(C171))</f>
        <v/>
      </c>
      <c r="E171" s="54"/>
      <c r="F171" s="54" t="n">
        <f aca="false">IFERROR(INDEX(Cuentas!$C$8:$C$500,MATCH(A171&amp;"|"&amp;E171,Cuentas!$A$8:$A$500&amp;"|"&amp;Cuentas!$B$8:$B$500,0)),"")</f>
        <v>0</v>
      </c>
      <c r="G171" s="54"/>
      <c r="H171" s="82"/>
      <c r="I171" s="82"/>
      <c r="J171" s="54"/>
      <c r="K171" s="54"/>
    </row>
    <row r="172" customFormat="false" ht="18" hidden="false" customHeight="true" outlineLevel="0" collapsed="false">
      <c r="A172" s="55"/>
      <c r="B172" s="55"/>
      <c r="C172" s="77"/>
      <c r="D172" s="67" t="str">
        <f aca="false">IF(C172="","",MONTH(C172))</f>
        <v/>
      </c>
      <c r="E172" s="55"/>
      <c r="F172" s="55" t="n">
        <f aca="false">IFERROR(INDEX(Cuentas!$C$8:$C$500,MATCH(A172&amp;"|"&amp;E172,Cuentas!$A$8:$A$500&amp;"|"&amp;Cuentas!$B$8:$B$500,0)),"")</f>
        <v>0</v>
      </c>
      <c r="G172" s="55"/>
      <c r="H172" s="83"/>
      <c r="I172" s="83"/>
      <c r="J172" s="55"/>
      <c r="K172" s="55"/>
    </row>
    <row r="173" customFormat="false" ht="18" hidden="false" customHeight="true" outlineLevel="0" collapsed="false">
      <c r="A173" s="54"/>
      <c r="B173" s="54"/>
      <c r="C173" s="80"/>
      <c r="D173" s="69" t="str">
        <f aca="false">IF(C173="","",MONTH(C173))</f>
        <v/>
      </c>
      <c r="E173" s="54"/>
      <c r="F173" s="54" t="n">
        <f aca="false">IFERROR(INDEX(Cuentas!$C$8:$C$500,MATCH(A173&amp;"|"&amp;E173,Cuentas!$A$8:$A$500&amp;"|"&amp;Cuentas!$B$8:$B$500,0)),"")</f>
        <v>0</v>
      </c>
      <c r="G173" s="54"/>
      <c r="H173" s="82"/>
      <c r="I173" s="82"/>
      <c r="J173" s="54"/>
      <c r="K173" s="54"/>
    </row>
    <row r="174" customFormat="false" ht="18" hidden="false" customHeight="true" outlineLevel="0" collapsed="false">
      <c r="A174" s="55"/>
      <c r="B174" s="55"/>
      <c r="C174" s="77"/>
      <c r="D174" s="67" t="str">
        <f aca="false">IF(C174="","",MONTH(C174))</f>
        <v/>
      </c>
      <c r="E174" s="55"/>
      <c r="F174" s="55" t="n">
        <f aca="false">IFERROR(INDEX(Cuentas!$C$8:$C$500,MATCH(A174&amp;"|"&amp;E174,Cuentas!$A$8:$A$500&amp;"|"&amp;Cuentas!$B$8:$B$500,0)),"")</f>
        <v>0</v>
      </c>
      <c r="G174" s="55"/>
      <c r="H174" s="83"/>
      <c r="I174" s="83"/>
      <c r="J174" s="55"/>
      <c r="K174" s="55"/>
    </row>
    <row r="175" customFormat="false" ht="18" hidden="false" customHeight="true" outlineLevel="0" collapsed="false">
      <c r="A175" s="54"/>
      <c r="B175" s="54"/>
      <c r="C175" s="80"/>
      <c r="D175" s="69" t="str">
        <f aca="false">IF(C175="","",MONTH(C175))</f>
        <v/>
      </c>
      <c r="E175" s="54"/>
      <c r="F175" s="54" t="n">
        <f aca="false">IFERROR(INDEX(Cuentas!$C$8:$C$500,MATCH(A175&amp;"|"&amp;E175,Cuentas!$A$8:$A$500&amp;"|"&amp;Cuentas!$B$8:$B$500,0)),"")</f>
        <v>0</v>
      </c>
      <c r="G175" s="54"/>
      <c r="H175" s="82"/>
      <c r="I175" s="82"/>
      <c r="J175" s="54"/>
      <c r="K175" s="54"/>
    </row>
    <row r="176" customFormat="false" ht="18" hidden="false" customHeight="true" outlineLevel="0" collapsed="false">
      <c r="A176" s="55"/>
      <c r="B176" s="55"/>
      <c r="C176" s="77"/>
      <c r="D176" s="67" t="str">
        <f aca="false">IF(C176="","",MONTH(C176))</f>
        <v/>
      </c>
      <c r="E176" s="55"/>
      <c r="F176" s="55" t="n">
        <f aca="false">IFERROR(INDEX(Cuentas!$C$8:$C$500,MATCH(A176&amp;"|"&amp;E176,Cuentas!$A$8:$A$500&amp;"|"&amp;Cuentas!$B$8:$B$500,0)),"")</f>
        <v>0</v>
      </c>
      <c r="G176" s="55"/>
      <c r="H176" s="83"/>
      <c r="I176" s="83"/>
      <c r="J176" s="55"/>
      <c r="K176" s="55"/>
    </row>
    <row r="177" customFormat="false" ht="18" hidden="false" customHeight="true" outlineLevel="0" collapsed="false">
      <c r="A177" s="54"/>
      <c r="B177" s="54"/>
      <c r="C177" s="80"/>
      <c r="D177" s="69" t="str">
        <f aca="false">IF(C177="","",MONTH(C177))</f>
        <v/>
      </c>
      <c r="E177" s="54"/>
      <c r="F177" s="54" t="n">
        <f aca="false">IFERROR(INDEX(Cuentas!$C$8:$C$500,MATCH(A177&amp;"|"&amp;E177,Cuentas!$A$8:$A$500&amp;"|"&amp;Cuentas!$B$8:$B$500,0)),"")</f>
        <v>0</v>
      </c>
      <c r="G177" s="54"/>
      <c r="H177" s="82"/>
      <c r="I177" s="82"/>
      <c r="J177" s="54"/>
      <c r="K177" s="54"/>
    </row>
    <row r="178" customFormat="false" ht="18" hidden="false" customHeight="true" outlineLevel="0" collapsed="false">
      <c r="A178" s="55"/>
      <c r="B178" s="55"/>
      <c r="C178" s="77"/>
      <c r="D178" s="67" t="str">
        <f aca="false">IF(C178="","",MONTH(C178))</f>
        <v/>
      </c>
      <c r="E178" s="55"/>
      <c r="F178" s="55" t="n">
        <f aca="false">IFERROR(INDEX(Cuentas!$C$8:$C$500,MATCH(A178&amp;"|"&amp;E178,Cuentas!$A$8:$A$500&amp;"|"&amp;Cuentas!$B$8:$B$500,0)),"")</f>
        <v>0</v>
      </c>
      <c r="G178" s="55"/>
      <c r="H178" s="83"/>
      <c r="I178" s="83"/>
      <c r="J178" s="55"/>
      <c r="K178" s="55"/>
    </row>
    <row r="179" customFormat="false" ht="18" hidden="false" customHeight="true" outlineLevel="0" collapsed="false">
      <c r="A179" s="54"/>
      <c r="B179" s="54"/>
      <c r="C179" s="80"/>
      <c r="D179" s="69" t="str">
        <f aca="false">IF(C179="","",MONTH(C179))</f>
        <v/>
      </c>
      <c r="E179" s="54"/>
      <c r="F179" s="54" t="n">
        <f aca="false">IFERROR(INDEX(Cuentas!$C$8:$C$500,MATCH(A179&amp;"|"&amp;E179,Cuentas!$A$8:$A$500&amp;"|"&amp;Cuentas!$B$8:$B$500,0)),"")</f>
        <v>0</v>
      </c>
      <c r="G179" s="54"/>
      <c r="H179" s="82"/>
      <c r="I179" s="82"/>
      <c r="J179" s="54"/>
      <c r="K179" s="54"/>
    </row>
    <row r="180" customFormat="false" ht="18" hidden="false" customHeight="true" outlineLevel="0" collapsed="false">
      <c r="A180" s="55"/>
      <c r="B180" s="55"/>
      <c r="C180" s="77"/>
      <c r="D180" s="67" t="str">
        <f aca="false">IF(C180="","",MONTH(C180))</f>
        <v/>
      </c>
      <c r="E180" s="55"/>
      <c r="F180" s="55" t="n">
        <f aca="false">IFERROR(INDEX(Cuentas!$C$8:$C$500,MATCH(A180&amp;"|"&amp;E180,Cuentas!$A$8:$A$500&amp;"|"&amp;Cuentas!$B$8:$B$500,0)),"")</f>
        <v>0</v>
      </c>
      <c r="G180" s="55"/>
      <c r="H180" s="83"/>
      <c r="I180" s="83"/>
      <c r="J180" s="55"/>
      <c r="K180" s="55"/>
    </row>
    <row r="181" customFormat="false" ht="18" hidden="false" customHeight="true" outlineLevel="0" collapsed="false">
      <c r="A181" s="54"/>
      <c r="B181" s="54"/>
      <c r="C181" s="80"/>
      <c r="D181" s="69" t="str">
        <f aca="false">IF(C181="","",MONTH(C181))</f>
        <v/>
      </c>
      <c r="E181" s="54"/>
      <c r="F181" s="54" t="n">
        <f aca="false">IFERROR(INDEX(Cuentas!$C$8:$C$500,MATCH(A181&amp;"|"&amp;E181,Cuentas!$A$8:$A$500&amp;"|"&amp;Cuentas!$B$8:$B$500,0)),"")</f>
        <v>0</v>
      </c>
      <c r="G181" s="54"/>
      <c r="H181" s="82"/>
      <c r="I181" s="82"/>
      <c r="J181" s="54"/>
      <c r="K181" s="54"/>
    </row>
    <row r="182" customFormat="false" ht="18" hidden="false" customHeight="true" outlineLevel="0" collapsed="false">
      <c r="A182" s="55"/>
      <c r="B182" s="55"/>
      <c r="C182" s="77"/>
      <c r="D182" s="67" t="str">
        <f aca="false">IF(C182="","",MONTH(C182))</f>
        <v/>
      </c>
      <c r="E182" s="55"/>
      <c r="F182" s="55" t="n">
        <f aca="false">IFERROR(INDEX(Cuentas!$C$8:$C$500,MATCH(A182&amp;"|"&amp;E182,Cuentas!$A$8:$A$500&amp;"|"&amp;Cuentas!$B$8:$B$500,0)),"")</f>
        <v>0</v>
      </c>
      <c r="G182" s="55"/>
      <c r="H182" s="83"/>
      <c r="I182" s="83"/>
      <c r="J182" s="55"/>
      <c r="K182" s="55"/>
    </row>
    <row r="183" customFormat="false" ht="18" hidden="false" customHeight="true" outlineLevel="0" collapsed="false">
      <c r="A183" s="54"/>
      <c r="B183" s="54"/>
      <c r="C183" s="80"/>
      <c r="D183" s="69" t="str">
        <f aca="false">IF(C183="","",MONTH(C183))</f>
        <v/>
      </c>
      <c r="E183" s="54"/>
      <c r="F183" s="54" t="n">
        <f aca="false">IFERROR(INDEX(Cuentas!$C$8:$C$500,MATCH(A183&amp;"|"&amp;E183,Cuentas!$A$8:$A$500&amp;"|"&amp;Cuentas!$B$8:$B$500,0)),"")</f>
        <v>0</v>
      </c>
      <c r="G183" s="54"/>
      <c r="H183" s="82"/>
      <c r="I183" s="82"/>
      <c r="J183" s="54"/>
      <c r="K183" s="54"/>
    </row>
    <row r="184" customFormat="false" ht="18" hidden="false" customHeight="true" outlineLevel="0" collapsed="false">
      <c r="A184" s="55"/>
      <c r="B184" s="55"/>
      <c r="C184" s="77"/>
      <c r="D184" s="67" t="str">
        <f aca="false">IF(C184="","",MONTH(C184))</f>
        <v/>
      </c>
      <c r="E184" s="55"/>
      <c r="F184" s="55" t="n">
        <f aca="false">IFERROR(INDEX(Cuentas!$C$8:$C$500,MATCH(A184&amp;"|"&amp;E184,Cuentas!$A$8:$A$500&amp;"|"&amp;Cuentas!$B$8:$B$500,0)),"")</f>
        <v>0</v>
      </c>
      <c r="G184" s="55"/>
      <c r="H184" s="83"/>
      <c r="I184" s="83"/>
      <c r="J184" s="55"/>
      <c r="K184" s="55"/>
    </row>
    <row r="185" customFormat="false" ht="18" hidden="false" customHeight="true" outlineLevel="0" collapsed="false">
      <c r="A185" s="54"/>
      <c r="B185" s="54"/>
      <c r="C185" s="80"/>
      <c r="D185" s="69" t="str">
        <f aca="false">IF(C185="","",MONTH(C185))</f>
        <v/>
      </c>
      <c r="E185" s="54"/>
      <c r="F185" s="54" t="n">
        <f aca="false">IFERROR(INDEX(Cuentas!$C$8:$C$500,MATCH(A185&amp;"|"&amp;E185,Cuentas!$A$8:$A$500&amp;"|"&amp;Cuentas!$B$8:$B$500,0)),"")</f>
        <v>0</v>
      </c>
      <c r="G185" s="54"/>
      <c r="H185" s="82"/>
      <c r="I185" s="82"/>
      <c r="J185" s="54"/>
      <c r="K185" s="54"/>
    </row>
    <row r="186" customFormat="false" ht="18" hidden="false" customHeight="true" outlineLevel="0" collapsed="false">
      <c r="A186" s="55"/>
      <c r="B186" s="55"/>
      <c r="C186" s="77"/>
      <c r="D186" s="67" t="str">
        <f aca="false">IF(C186="","",MONTH(C186))</f>
        <v/>
      </c>
      <c r="E186" s="55"/>
      <c r="F186" s="55" t="n">
        <f aca="false">IFERROR(INDEX(Cuentas!$C$8:$C$500,MATCH(A186&amp;"|"&amp;E186,Cuentas!$A$8:$A$500&amp;"|"&amp;Cuentas!$B$8:$B$500,0)),"")</f>
        <v>0</v>
      </c>
      <c r="G186" s="55"/>
      <c r="H186" s="83"/>
      <c r="I186" s="83"/>
      <c r="J186" s="55"/>
      <c r="K186" s="55"/>
    </row>
    <row r="187" customFormat="false" ht="18" hidden="false" customHeight="true" outlineLevel="0" collapsed="false">
      <c r="A187" s="54"/>
      <c r="B187" s="54"/>
      <c r="C187" s="80"/>
      <c r="D187" s="69" t="str">
        <f aca="false">IF(C187="","",MONTH(C187))</f>
        <v/>
      </c>
      <c r="E187" s="54"/>
      <c r="F187" s="54" t="n">
        <f aca="false">IFERROR(INDEX(Cuentas!$C$8:$C$500,MATCH(A187&amp;"|"&amp;E187,Cuentas!$A$8:$A$500&amp;"|"&amp;Cuentas!$B$8:$B$500,0)),"")</f>
        <v>0</v>
      </c>
      <c r="G187" s="54"/>
      <c r="H187" s="82"/>
      <c r="I187" s="82"/>
      <c r="J187" s="54"/>
      <c r="K187" s="54"/>
    </row>
    <row r="188" customFormat="false" ht="18" hidden="false" customHeight="true" outlineLevel="0" collapsed="false">
      <c r="A188" s="55"/>
      <c r="B188" s="55"/>
      <c r="C188" s="77"/>
      <c r="D188" s="67" t="str">
        <f aca="false">IF(C188="","",MONTH(C188))</f>
        <v/>
      </c>
      <c r="E188" s="55"/>
      <c r="F188" s="55" t="n">
        <f aca="false">IFERROR(INDEX(Cuentas!$C$8:$C$500,MATCH(A188&amp;"|"&amp;E188,Cuentas!$A$8:$A$500&amp;"|"&amp;Cuentas!$B$8:$B$500,0)),"")</f>
        <v>0</v>
      </c>
      <c r="G188" s="55"/>
      <c r="H188" s="83"/>
      <c r="I188" s="83"/>
      <c r="J188" s="55"/>
      <c r="K188" s="55"/>
    </row>
    <row r="189" customFormat="false" ht="18" hidden="false" customHeight="true" outlineLevel="0" collapsed="false">
      <c r="A189" s="54"/>
      <c r="B189" s="54"/>
      <c r="C189" s="80"/>
      <c r="D189" s="69" t="str">
        <f aca="false">IF(C189="","",MONTH(C189))</f>
        <v/>
      </c>
      <c r="E189" s="54"/>
      <c r="F189" s="54" t="n">
        <f aca="false">IFERROR(INDEX(Cuentas!$C$8:$C$500,MATCH(A189&amp;"|"&amp;E189,Cuentas!$A$8:$A$500&amp;"|"&amp;Cuentas!$B$8:$B$500,0)),"")</f>
        <v>0</v>
      </c>
      <c r="G189" s="54"/>
      <c r="H189" s="82"/>
      <c r="I189" s="82"/>
      <c r="J189" s="54"/>
      <c r="K189" s="54"/>
    </row>
    <row r="190" customFormat="false" ht="18" hidden="false" customHeight="true" outlineLevel="0" collapsed="false">
      <c r="A190" s="55"/>
      <c r="B190" s="55"/>
      <c r="C190" s="77"/>
      <c r="D190" s="67" t="str">
        <f aca="false">IF(C190="","",MONTH(C190))</f>
        <v/>
      </c>
      <c r="E190" s="55"/>
      <c r="F190" s="55" t="n">
        <f aca="false">IFERROR(INDEX(Cuentas!$C$8:$C$500,MATCH(A190&amp;"|"&amp;E190,Cuentas!$A$8:$A$500&amp;"|"&amp;Cuentas!$B$8:$B$500,0)),"")</f>
        <v>0</v>
      </c>
      <c r="G190" s="55"/>
      <c r="H190" s="83"/>
      <c r="I190" s="83"/>
      <c r="J190" s="55"/>
      <c r="K190" s="55"/>
    </row>
    <row r="191" customFormat="false" ht="18" hidden="false" customHeight="true" outlineLevel="0" collapsed="false">
      <c r="A191" s="54"/>
      <c r="B191" s="54"/>
      <c r="C191" s="80"/>
      <c r="D191" s="69" t="str">
        <f aca="false">IF(C191="","",MONTH(C191))</f>
        <v/>
      </c>
      <c r="E191" s="54"/>
      <c r="F191" s="54" t="n">
        <f aca="false">IFERROR(INDEX(Cuentas!$C$8:$C$500,MATCH(A191&amp;"|"&amp;E191,Cuentas!$A$8:$A$500&amp;"|"&amp;Cuentas!$B$8:$B$500,0)),"")</f>
        <v>0</v>
      </c>
      <c r="G191" s="54"/>
      <c r="H191" s="82"/>
      <c r="I191" s="82"/>
      <c r="J191" s="54"/>
      <c r="K191" s="54"/>
    </row>
    <row r="192" customFormat="false" ht="18" hidden="false" customHeight="true" outlineLevel="0" collapsed="false">
      <c r="A192" s="55"/>
      <c r="B192" s="55"/>
      <c r="C192" s="77"/>
      <c r="D192" s="67" t="str">
        <f aca="false">IF(C192="","",MONTH(C192))</f>
        <v/>
      </c>
      <c r="E192" s="55"/>
      <c r="F192" s="55" t="n">
        <f aca="false">IFERROR(INDEX(Cuentas!$C$8:$C$500,MATCH(A192&amp;"|"&amp;E192,Cuentas!$A$8:$A$500&amp;"|"&amp;Cuentas!$B$8:$B$500,0)),"")</f>
        <v>0</v>
      </c>
      <c r="G192" s="55"/>
      <c r="H192" s="83"/>
      <c r="I192" s="83"/>
      <c r="J192" s="55"/>
      <c r="K192" s="55"/>
    </row>
    <row r="193" customFormat="false" ht="18" hidden="false" customHeight="true" outlineLevel="0" collapsed="false">
      <c r="A193" s="54"/>
      <c r="B193" s="54"/>
      <c r="C193" s="80"/>
      <c r="D193" s="69" t="str">
        <f aca="false">IF(C193="","",MONTH(C193))</f>
        <v/>
      </c>
      <c r="E193" s="54"/>
      <c r="F193" s="54" t="n">
        <f aca="false">IFERROR(INDEX(Cuentas!$C$8:$C$500,MATCH(A193&amp;"|"&amp;E193,Cuentas!$A$8:$A$500&amp;"|"&amp;Cuentas!$B$8:$B$500,0)),"")</f>
        <v>0</v>
      </c>
      <c r="G193" s="54"/>
      <c r="H193" s="82"/>
      <c r="I193" s="82"/>
      <c r="J193" s="54"/>
      <c r="K193" s="54"/>
    </row>
    <row r="194" customFormat="false" ht="18" hidden="false" customHeight="true" outlineLevel="0" collapsed="false">
      <c r="A194" s="55"/>
      <c r="B194" s="55"/>
      <c r="C194" s="77"/>
      <c r="D194" s="67" t="str">
        <f aca="false">IF(C194="","",MONTH(C194))</f>
        <v/>
      </c>
      <c r="E194" s="55"/>
      <c r="F194" s="55" t="n">
        <f aca="false">IFERROR(INDEX(Cuentas!$C$8:$C$500,MATCH(A194&amp;"|"&amp;E194,Cuentas!$A$8:$A$500&amp;"|"&amp;Cuentas!$B$8:$B$500,0)),"")</f>
        <v>0</v>
      </c>
      <c r="G194" s="55"/>
      <c r="H194" s="83"/>
      <c r="I194" s="83"/>
      <c r="J194" s="55"/>
      <c r="K194" s="55"/>
    </row>
    <row r="195" customFormat="false" ht="18" hidden="false" customHeight="true" outlineLevel="0" collapsed="false">
      <c r="A195" s="54"/>
      <c r="B195" s="54"/>
      <c r="C195" s="80"/>
      <c r="D195" s="69" t="str">
        <f aca="false">IF(C195="","",MONTH(C195))</f>
        <v/>
      </c>
      <c r="E195" s="54"/>
      <c r="F195" s="54" t="n">
        <f aca="false">IFERROR(INDEX(Cuentas!$C$8:$C$500,MATCH(A195&amp;"|"&amp;E195,Cuentas!$A$8:$A$500&amp;"|"&amp;Cuentas!$B$8:$B$500,0)),"")</f>
        <v>0</v>
      </c>
      <c r="G195" s="54"/>
      <c r="H195" s="82"/>
      <c r="I195" s="82"/>
      <c r="J195" s="54"/>
      <c r="K195" s="54"/>
    </row>
    <row r="196" customFormat="false" ht="18" hidden="false" customHeight="true" outlineLevel="0" collapsed="false">
      <c r="A196" s="55"/>
      <c r="B196" s="55"/>
      <c r="C196" s="77"/>
      <c r="D196" s="67" t="str">
        <f aca="false">IF(C196="","",MONTH(C196))</f>
        <v/>
      </c>
      <c r="E196" s="55"/>
      <c r="F196" s="55" t="n">
        <f aca="false">IFERROR(INDEX(Cuentas!$C$8:$C$500,MATCH(A196&amp;"|"&amp;E196,Cuentas!$A$8:$A$500&amp;"|"&amp;Cuentas!$B$8:$B$500,0)),"")</f>
        <v>0</v>
      </c>
      <c r="G196" s="55"/>
      <c r="H196" s="83"/>
      <c r="I196" s="83"/>
      <c r="J196" s="55"/>
      <c r="K196" s="55"/>
    </row>
    <row r="197" customFormat="false" ht="18" hidden="false" customHeight="true" outlineLevel="0" collapsed="false">
      <c r="A197" s="54"/>
      <c r="B197" s="54"/>
      <c r="C197" s="80"/>
      <c r="D197" s="69" t="str">
        <f aca="false">IF(C197="","",MONTH(C197))</f>
        <v/>
      </c>
      <c r="E197" s="54"/>
      <c r="F197" s="54" t="n">
        <f aca="false">IFERROR(INDEX(Cuentas!$C$8:$C$500,MATCH(A197&amp;"|"&amp;E197,Cuentas!$A$8:$A$500&amp;"|"&amp;Cuentas!$B$8:$B$500,0)),"")</f>
        <v>0</v>
      </c>
      <c r="G197" s="54"/>
      <c r="H197" s="82"/>
      <c r="I197" s="82"/>
      <c r="J197" s="54"/>
      <c r="K197" s="54"/>
    </row>
    <row r="198" customFormat="false" ht="18" hidden="false" customHeight="true" outlineLevel="0" collapsed="false">
      <c r="A198" s="55"/>
      <c r="B198" s="55"/>
      <c r="C198" s="77"/>
      <c r="D198" s="67" t="str">
        <f aca="false">IF(C198="","",MONTH(C198))</f>
        <v/>
      </c>
      <c r="E198" s="55"/>
      <c r="F198" s="55" t="n">
        <f aca="false">IFERROR(INDEX(Cuentas!$C$8:$C$500,MATCH(A198&amp;"|"&amp;E198,Cuentas!$A$8:$A$500&amp;"|"&amp;Cuentas!$B$8:$B$500,0)),"")</f>
        <v>0</v>
      </c>
      <c r="G198" s="55"/>
      <c r="H198" s="83"/>
      <c r="I198" s="83"/>
      <c r="J198" s="55"/>
      <c r="K198" s="55"/>
    </row>
    <row r="199" customFormat="false" ht="18" hidden="false" customHeight="true" outlineLevel="0" collapsed="false">
      <c r="A199" s="54"/>
      <c r="B199" s="54"/>
      <c r="C199" s="80"/>
      <c r="D199" s="69" t="str">
        <f aca="false">IF(C199="","",MONTH(C199))</f>
        <v/>
      </c>
      <c r="E199" s="54"/>
      <c r="F199" s="54" t="n">
        <f aca="false">IFERROR(INDEX(Cuentas!$C$8:$C$500,MATCH(A199&amp;"|"&amp;E199,Cuentas!$A$8:$A$500&amp;"|"&amp;Cuentas!$B$8:$B$500,0)),"")</f>
        <v>0</v>
      </c>
      <c r="G199" s="54"/>
      <c r="H199" s="82"/>
      <c r="I199" s="82"/>
      <c r="J199" s="54"/>
      <c r="K199" s="54"/>
    </row>
    <row r="200" customFormat="false" ht="18" hidden="false" customHeight="true" outlineLevel="0" collapsed="false">
      <c r="A200" s="55"/>
      <c r="B200" s="55"/>
      <c r="C200" s="77"/>
      <c r="D200" s="67" t="str">
        <f aca="false">IF(C200="","",MONTH(C200))</f>
        <v/>
      </c>
      <c r="E200" s="55"/>
      <c r="F200" s="55" t="n">
        <f aca="false">IFERROR(INDEX(Cuentas!$C$8:$C$500,MATCH(A200&amp;"|"&amp;E200,Cuentas!$A$8:$A$500&amp;"|"&amp;Cuentas!$B$8:$B$500,0)),"")</f>
        <v>0</v>
      </c>
      <c r="G200" s="55"/>
      <c r="H200" s="83"/>
      <c r="I200" s="83"/>
      <c r="J200" s="55"/>
      <c r="K200" s="55"/>
    </row>
    <row r="201" customFormat="false" ht="18" hidden="false" customHeight="true" outlineLevel="0" collapsed="false">
      <c r="A201" s="54"/>
      <c r="B201" s="54"/>
      <c r="C201" s="80"/>
      <c r="D201" s="69" t="str">
        <f aca="false">IF(C201="","",MONTH(C201))</f>
        <v/>
      </c>
      <c r="E201" s="54"/>
      <c r="F201" s="54" t="n">
        <f aca="false">IFERROR(INDEX(Cuentas!$C$8:$C$500,MATCH(A201&amp;"|"&amp;E201,Cuentas!$A$8:$A$500&amp;"|"&amp;Cuentas!$B$8:$B$500,0)),"")</f>
        <v>0</v>
      </c>
      <c r="G201" s="54"/>
      <c r="H201" s="82"/>
      <c r="I201" s="82"/>
      <c r="J201" s="54"/>
      <c r="K201" s="54"/>
    </row>
    <row r="202" customFormat="false" ht="18" hidden="false" customHeight="true" outlineLevel="0" collapsed="false">
      <c r="A202" s="55"/>
      <c r="B202" s="55"/>
      <c r="C202" s="77"/>
      <c r="D202" s="67" t="str">
        <f aca="false">IF(C202="","",MONTH(C202))</f>
        <v/>
      </c>
      <c r="E202" s="55"/>
      <c r="F202" s="55" t="n">
        <f aca="false">IFERROR(INDEX(Cuentas!$C$8:$C$500,MATCH(A202&amp;"|"&amp;E202,Cuentas!$A$8:$A$500&amp;"|"&amp;Cuentas!$B$8:$B$500,0)),"")</f>
        <v>0</v>
      </c>
      <c r="G202" s="55"/>
      <c r="H202" s="83"/>
      <c r="I202" s="83"/>
      <c r="J202" s="55"/>
      <c r="K202" s="55"/>
    </row>
    <row r="203" customFormat="false" ht="18" hidden="false" customHeight="true" outlineLevel="0" collapsed="false">
      <c r="A203" s="54"/>
      <c r="B203" s="54"/>
      <c r="C203" s="80"/>
      <c r="D203" s="69" t="str">
        <f aca="false">IF(C203="","",MONTH(C203))</f>
        <v/>
      </c>
      <c r="E203" s="54"/>
      <c r="F203" s="54" t="n">
        <f aca="false">IFERROR(INDEX(Cuentas!$C$8:$C$500,MATCH(A203&amp;"|"&amp;E203,Cuentas!$A$8:$A$500&amp;"|"&amp;Cuentas!$B$8:$B$500,0)),"")</f>
        <v>0</v>
      </c>
      <c r="G203" s="54"/>
      <c r="H203" s="82"/>
      <c r="I203" s="82"/>
      <c r="J203" s="54"/>
      <c r="K203" s="54"/>
    </row>
    <row r="204" customFormat="false" ht="18" hidden="false" customHeight="true" outlineLevel="0" collapsed="false">
      <c r="A204" s="55"/>
      <c r="B204" s="55"/>
      <c r="C204" s="77"/>
      <c r="D204" s="67" t="str">
        <f aca="false">IF(C204="","",MONTH(C204))</f>
        <v/>
      </c>
      <c r="E204" s="55"/>
      <c r="F204" s="55" t="n">
        <f aca="false">IFERROR(INDEX(Cuentas!$C$8:$C$500,MATCH(A204&amp;"|"&amp;E204,Cuentas!$A$8:$A$500&amp;"|"&amp;Cuentas!$B$8:$B$500,0)),"")</f>
        <v>0</v>
      </c>
      <c r="G204" s="55"/>
      <c r="H204" s="83"/>
      <c r="I204" s="83"/>
      <c r="J204" s="55"/>
      <c r="K204" s="55"/>
    </row>
    <row r="205" customFormat="false" ht="18" hidden="false" customHeight="true" outlineLevel="0" collapsed="false">
      <c r="A205" s="54"/>
      <c r="B205" s="54"/>
      <c r="C205" s="80"/>
      <c r="D205" s="69" t="str">
        <f aca="false">IF(C205="","",MONTH(C205))</f>
        <v/>
      </c>
      <c r="E205" s="54"/>
      <c r="F205" s="54" t="n">
        <f aca="false">IFERROR(INDEX(Cuentas!$C$8:$C$500,MATCH(A205&amp;"|"&amp;E205,Cuentas!$A$8:$A$500&amp;"|"&amp;Cuentas!$B$8:$B$500,0)),"")</f>
        <v>0</v>
      </c>
      <c r="G205" s="54"/>
      <c r="H205" s="82"/>
      <c r="I205" s="82"/>
      <c r="J205" s="54"/>
      <c r="K205" s="54"/>
    </row>
    <row r="206" customFormat="false" ht="18" hidden="false" customHeight="true" outlineLevel="0" collapsed="false">
      <c r="A206" s="55"/>
      <c r="B206" s="55"/>
      <c r="C206" s="77"/>
      <c r="D206" s="67" t="str">
        <f aca="false">IF(C206="","",MONTH(C206))</f>
        <v/>
      </c>
      <c r="E206" s="55"/>
      <c r="F206" s="55" t="n">
        <f aca="false">IFERROR(INDEX(Cuentas!$C$8:$C$500,MATCH(A206&amp;"|"&amp;E206,Cuentas!$A$8:$A$500&amp;"|"&amp;Cuentas!$B$8:$B$500,0)),"")</f>
        <v>0</v>
      </c>
      <c r="G206" s="55"/>
      <c r="H206" s="83"/>
      <c r="I206" s="83"/>
      <c r="J206" s="55"/>
      <c r="K206" s="55"/>
    </row>
    <row r="207" customFormat="false" ht="18" hidden="false" customHeight="true" outlineLevel="0" collapsed="false">
      <c r="A207" s="54"/>
      <c r="B207" s="54"/>
      <c r="C207" s="80"/>
      <c r="D207" s="69" t="str">
        <f aca="false">IF(C207="","",MONTH(C207))</f>
        <v/>
      </c>
      <c r="E207" s="54"/>
      <c r="F207" s="54" t="n">
        <f aca="false">IFERROR(INDEX(Cuentas!$C$8:$C$500,MATCH(A207&amp;"|"&amp;E207,Cuentas!$A$8:$A$500&amp;"|"&amp;Cuentas!$B$8:$B$500,0)),"")</f>
        <v>0</v>
      </c>
      <c r="G207" s="54"/>
      <c r="H207" s="82"/>
      <c r="I207" s="82"/>
      <c r="J207" s="54"/>
      <c r="K207" s="54"/>
    </row>
    <row r="208" customFormat="false" ht="18" hidden="false" customHeight="true" outlineLevel="0" collapsed="false">
      <c r="A208" s="55"/>
      <c r="B208" s="55"/>
      <c r="C208" s="77"/>
      <c r="D208" s="67" t="str">
        <f aca="false">IF(C208="","",MONTH(C208))</f>
        <v/>
      </c>
      <c r="E208" s="55"/>
      <c r="F208" s="55" t="n">
        <f aca="false">IFERROR(INDEX(Cuentas!$C$8:$C$500,MATCH(A208&amp;"|"&amp;E208,Cuentas!$A$8:$A$500&amp;"|"&amp;Cuentas!$B$8:$B$500,0)),"")</f>
        <v>0</v>
      </c>
      <c r="G208" s="55"/>
      <c r="H208" s="83"/>
      <c r="I208" s="83"/>
      <c r="J208" s="55"/>
      <c r="K208" s="55"/>
    </row>
    <row r="209" customFormat="false" ht="18" hidden="false" customHeight="true" outlineLevel="0" collapsed="false">
      <c r="A209" s="54"/>
      <c r="B209" s="54"/>
      <c r="C209" s="80"/>
      <c r="D209" s="69" t="str">
        <f aca="false">IF(C209="","",MONTH(C209))</f>
        <v/>
      </c>
      <c r="E209" s="54"/>
      <c r="F209" s="54" t="n">
        <f aca="false">IFERROR(INDEX(Cuentas!$C$8:$C$500,MATCH(A209&amp;"|"&amp;E209,Cuentas!$A$8:$A$500&amp;"|"&amp;Cuentas!$B$8:$B$500,0)),"")</f>
        <v>0</v>
      </c>
      <c r="G209" s="54"/>
      <c r="H209" s="82"/>
      <c r="I209" s="82"/>
      <c r="J209" s="54"/>
      <c r="K209" s="54"/>
    </row>
    <row r="210" customFormat="false" ht="18" hidden="false" customHeight="true" outlineLevel="0" collapsed="false">
      <c r="A210" s="55"/>
      <c r="B210" s="55"/>
      <c r="C210" s="77"/>
      <c r="D210" s="67" t="str">
        <f aca="false">IF(C210="","",MONTH(C210))</f>
        <v/>
      </c>
      <c r="E210" s="55"/>
      <c r="F210" s="55" t="n">
        <f aca="false">IFERROR(INDEX(Cuentas!$C$8:$C$500,MATCH(A210&amp;"|"&amp;E210,Cuentas!$A$8:$A$500&amp;"|"&amp;Cuentas!$B$8:$B$500,0)),"")</f>
        <v>0</v>
      </c>
      <c r="G210" s="55"/>
      <c r="H210" s="83"/>
      <c r="I210" s="83"/>
      <c r="J210" s="55"/>
      <c r="K210" s="55"/>
    </row>
    <row r="211" customFormat="false" ht="18" hidden="false" customHeight="true" outlineLevel="0" collapsed="false">
      <c r="A211" s="54"/>
      <c r="B211" s="54"/>
      <c r="C211" s="80"/>
      <c r="D211" s="69" t="str">
        <f aca="false">IF(C211="","",MONTH(C211))</f>
        <v/>
      </c>
      <c r="E211" s="54"/>
      <c r="F211" s="54" t="n">
        <f aca="false">IFERROR(INDEX(Cuentas!$C$8:$C$500,MATCH(A211&amp;"|"&amp;E211,Cuentas!$A$8:$A$500&amp;"|"&amp;Cuentas!$B$8:$B$500,0)),"")</f>
        <v>0</v>
      </c>
      <c r="G211" s="54"/>
      <c r="H211" s="82"/>
      <c r="I211" s="82"/>
      <c r="J211" s="54"/>
      <c r="K211" s="54"/>
    </row>
    <row r="212" customFormat="false" ht="18" hidden="false" customHeight="true" outlineLevel="0" collapsed="false">
      <c r="A212" s="55"/>
      <c r="B212" s="55"/>
      <c r="C212" s="77"/>
      <c r="D212" s="67" t="str">
        <f aca="false">IF(C212="","",MONTH(C212))</f>
        <v/>
      </c>
      <c r="E212" s="55"/>
      <c r="F212" s="55" t="n">
        <f aca="false">IFERROR(INDEX(Cuentas!$C$8:$C$500,MATCH(A212&amp;"|"&amp;E212,Cuentas!$A$8:$A$500&amp;"|"&amp;Cuentas!$B$8:$B$500,0)),"")</f>
        <v>0</v>
      </c>
      <c r="G212" s="55"/>
      <c r="H212" s="83"/>
      <c r="I212" s="83"/>
      <c r="J212" s="55"/>
      <c r="K212" s="55"/>
    </row>
    <row r="213" customFormat="false" ht="18" hidden="false" customHeight="true" outlineLevel="0" collapsed="false">
      <c r="A213" s="54"/>
      <c r="B213" s="54"/>
      <c r="C213" s="80"/>
      <c r="D213" s="69" t="str">
        <f aca="false">IF(C213="","",MONTH(C213))</f>
        <v/>
      </c>
      <c r="E213" s="54"/>
      <c r="F213" s="54" t="n">
        <f aca="false">IFERROR(INDEX(Cuentas!$C$8:$C$500,MATCH(A213&amp;"|"&amp;E213,Cuentas!$A$8:$A$500&amp;"|"&amp;Cuentas!$B$8:$B$500,0)),"")</f>
        <v>0</v>
      </c>
      <c r="G213" s="54"/>
      <c r="H213" s="82"/>
      <c r="I213" s="82"/>
      <c r="J213" s="54"/>
      <c r="K213" s="54"/>
    </row>
    <row r="214" customFormat="false" ht="18" hidden="false" customHeight="true" outlineLevel="0" collapsed="false">
      <c r="A214" s="55"/>
      <c r="B214" s="55"/>
      <c r="C214" s="77"/>
      <c r="D214" s="67" t="str">
        <f aca="false">IF(C214="","",MONTH(C214))</f>
        <v/>
      </c>
      <c r="E214" s="55"/>
      <c r="F214" s="55" t="n">
        <f aca="false">IFERROR(INDEX(Cuentas!$C$8:$C$500,MATCH(A214&amp;"|"&amp;E214,Cuentas!$A$8:$A$500&amp;"|"&amp;Cuentas!$B$8:$B$500,0)),"")</f>
        <v>0</v>
      </c>
      <c r="G214" s="55"/>
      <c r="H214" s="83"/>
      <c r="I214" s="83"/>
      <c r="J214" s="55"/>
      <c r="K214" s="55"/>
    </row>
    <row r="215" customFormat="false" ht="18" hidden="false" customHeight="true" outlineLevel="0" collapsed="false">
      <c r="A215" s="54"/>
      <c r="B215" s="54"/>
      <c r="C215" s="80"/>
      <c r="D215" s="69" t="str">
        <f aca="false">IF(C215="","",MONTH(C215))</f>
        <v/>
      </c>
      <c r="E215" s="54"/>
      <c r="F215" s="54" t="n">
        <f aca="false">IFERROR(INDEX(Cuentas!$C$8:$C$500,MATCH(A215&amp;"|"&amp;E215,Cuentas!$A$8:$A$500&amp;"|"&amp;Cuentas!$B$8:$B$500,0)),"")</f>
        <v>0</v>
      </c>
      <c r="G215" s="54"/>
      <c r="H215" s="82"/>
      <c r="I215" s="82"/>
      <c r="J215" s="54"/>
      <c r="K215" s="54"/>
    </row>
    <row r="216" customFormat="false" ht="18" hidden="false" customHeight="true" outlineLevel="0" collapsed="false">
      <c r="A216" s="55"/>
      <c r="B216" s="55"/>
      <c r="C216" s="77"/>
      <c r="D216" s="67" t="str">
        <f aca="false">IF(C216="","",MONTH(C216))</f>
        <v/>
      </c>
      <c r="E216" s="55"/>
      <c r="F216" s="55" t="n">
        <f aca="false">IFERROR(INDEX(Cuentas!$C$8:$C$500,MATCH(A216&amp;"|"&amp;E216,Cuentas!$A$8:$A$500&amp;"|"&amp;Cuentas!$B$8:$B$500,0)),"")</f>
        <v>0</v>
      </c>
      <c r="G216" s="55"/>
      <c r="H216" s="83"/>
      <c r="I216" s="83"/>
      <c r="J216" s="55"/>
      <c r="K216" s="55"/>
    </row>
    <row r="217" customFormat="false" ht="18" hidden="false" customHeight="true" outlineLevel="0" collapsed="false">
      <c r="A217" s="54"/>
      <c r="B217" s="54"/>
      <c r="C217" s="80"/>
      <c r="D217" s="69" t="str">
        <f aca="false">IF(C217="","",MONTH(C217))</f>
        <v/>
      </c>
      <c r="E217" s="54"/>
      <c r="F217" s="54" t="n">
        <f aca="false">IFERROR(INDEX(Cuentas!$C$8:$C$500,MATCH(A217&amp;"|"&amp;E217,Cuentas!$A$8:$A$500&amp;"|"&amp;Cuentas!$B$8:$B$500,0)),"")</f>
        <v>0</v>
      </c>
      <c r="G217" s="54"/>
      <c r="H217" s="82"/>
      <c r="I217" s="82"/>
      <c r="J217" s="54"/>
      <c r="K217" s="54"/>
    </row>
    <row r="218" customFormat="false" ht="18" hidden="false" customHeight="true" outlineLevel="0" collapsed="false">
      <c r="A218" s="55"/>
      <c r="B218" s="55"/>
      <c r="C218" s="77"/>
      <c r="D218" s="67" t="str">
        <f aca="false">IF(C218="","",MONTH(C218))</f>
        <v/>
      </c>
      <c r="E218" s="55"/>
      <c r="F218" s="55" t="n">
        <f aca="false">IFERROR(INDEX(Cuentas!$C$8:$C$500,MATCH(A218&amp;"|"&amp;E218,Cuentas!$A$8:$A$500&amp;"|"&amp;Cuentas!$B$8:$B$500,0)),"")</f>
        <v>0</v>
      </c>
      <c r="G218" s="55"/>
      <c r="H218" s="83"/>
      <c r="I218" s="83"/>
      <c r="J218" s="55"/>
      <c r="K218" s="55"/>
    </row>
    <row r="219" customFormat="false" ht="18" hidden="false" customHeight="true" outlineLevel="0" collapsed="false">
      <c r="A219" s="54"/>
      <c r="B219" s="54"/>
      <c r="C219" s="80"/>
      <c r="D219" s="69" t="str">
        <f aca="false">IF(C219="","",MONTH(C219))</f>
        <v/>
      </c>
      <c r="E219" s="54"/>
      <c r="F219" s="54" t="n">
        <f aca="false">IFERROR(INDEX(Cuentas!$C$8:$C$500,MATCH(A219&amp;"|"&amp;E219,Cuentas!$A$8:$A$500&amp;"|"&amp;Cuentas!$B$8:$B$500,0)),"")</f>
        <v>0</v>
      </c>
      <c r="G219" s="54"/>
      <c r="H219" s="82"/>
      <c r="I219" s="82"/>
      <c r="J219" s="54"/>
      <c r="K219" s="54"/>
    </row>
    <row r="220" customFormat="false" ht="18" hidden="false" customHeight="true" outlineLevel="0" collapsed="false">
      <c r="A220" s="55"/>
      <c r="B220" s="55"/>
      <c r="C220" s="77"/>
      <c r="D220" s="67" t="str">
        <f aca="false">IF(C220="","",MONTH(C220))</f>
        <v/>
      </c>
      <c r="E220" s="55"/>
      <c r="F220" s="55" t="n">
        <f aca="false">IFERROR(INDEX(Cuentas!$C$8:$C$500,MATCH(A220&amp;"|"&amp;E220,Cuentas!$A$8:$A$500&amp;"|"&amp;Cuentas!$B$8:$B$500,0)),"")</f>
        <v>0</v>
      </c>
      <c r="G220" s="55"/>
      <c r="H220" s="83"/>
      <c r="I220" s="83"/>
      <c r="J220" s="55"/>
      <c r="K220" s="55"/>
    </row>
    <row r="221" customFormat="false" ht="18" hidden="false" customHeight="true" outlineLevel="0" collapsed="false">
      <c r="A221" s="54"/>
      <c r="B221" s="54"/>
      <c r="C221" s="80"/>
      <c r="D221" s="69" t="str">
        <f aca="false">IF(C221="","",MONTH(C221))</f>
        <v/>
      </c>
      <c r="E221" s="54"/>
      <c r="F221" s="54" t="n">
        <f aca="false">IFERROR(INDEX(Cuentas!$C$8:$C$500,MATCH(A221&amp;"|"&amp;E221,Cuentas!$A$8:$A$500&amp;"|"&amp;Cuentas!$B$8:$B$500,0)),"")</f>
        <v>0</v>
      </c>
      <c r="G221" s="54"/>
      <c r="H221" s="82"/>
      <c r="I221" s="82"/>
      <c r="J221" s="54"/>
      <c r="K221" s="54"/>
    </row>
    <row r="222" customFormat="false" ht="18" hidden="false" customHeight="true" outlineLevel="0" collapsed="false">
      <c r="A222" s="55"/>
      <c r="B222" s="55"/>
      <c r="C222" s="77"/>
      <c r="D222" s="67" t="str">
        <f aca="false">IF(C222="","",MONTH(C222))</f>
        <v/>
      </c>
      <c r="E222" s="55"/>
      <c r="F222" s="55" t="n">
        <f aca="false">IFERROR(INDEX(Cuentas!$C$8:$C$500,MATCH(A222&amp;"|"&amp;E222,Cuentas!$A$8:$A$500&amp;"|"&amp;Cuentas!$B$8:$B$500,0)),"")</f>
        <v>0</v>
      </c>
      <c r="G222" s="55"/>
      <c r="H222" s="83"/>
      <c r="I222" s="83"/>
      <c r="J222" s="55"/>
      <c r="K222" s="55"/>
    </row>
    <row r="223" customFormat="false" ht="18" hidden="false" customHeight="true" outlineLevel="0" collapsed="false">
      <c r="A223" s="54"/>
      <c r="B223" s="54"/>
      <c r="C223" s="80"/>
      <c r="D223" s="69" t="str">
        <f aca="false">IF(C223="","",MONTH(C223))</f>
        <v/>
      </c>
      <c r="E223" s="54"/>
      <c r="F223" s="54" t="n">
        <f aca="false">IFERROR(INDEX(Cuentas!$C$8:$C$500,MATCH(A223&amp;"|"&amp;E223,Cuentas!$A$8:$A$500&amp;"|"&amp;Cuentas!$B$8:$B$500,0)),"")</f>
        <v>0</v>
      </c>
      <c r="G223" s="54"/>
      <c r="H223" s="82"/>
      <c r="I223" s="82"/>
      <c r="J223" s="54"/>
      <c r="K223" s="54"/>
    </row>
    <row r="224" customFormat="false" ht="18" hidden="false" customHeight="true" outlineLevel="0" collapsed="false">
      <c r="A224" s="55"/>
      <c r="B224" s="55"/>
      <c r="C224" s="77"/>
      <c r="D224" s="67" t="str">
        <f aca="false">IF(C224="","",MONTH(C224))</f>
        <v/>
      </c>
      <c r="E224" s="55"/>
      <c r="F224" s="55" t="n">
        <f aca="false">IFERROR(INDEX(Cuentas!$C$8:$C$500,MATCH(A224&amp;"|"&amp;E224,Cuentas!$A$8:$A$500&amp;"|"&amp;Cuentas!$B$8:$B$500,0)),"")</f>
        <v>0</v>
      </c>
      <c r="G224" s="55"/>
      <c r="H224" s="83"/>
      <c r="I224" s="83"/>
      <c r="J224" s="55"/>
      <c r="K224" s="55"/>
    </row>
    <row r="225" customFormat="false" ht="18" hidden="false" customHeight="true" outlineLevel="0" collapsed="false">
      <c r="A225" s="54"/>
      <c r="B225" s="54"/>
      <c r="C225" s="80"/>
      <c r="D225" s="69" t="str">
        <f aca="false">IF(C225="","",MONTH(C225))</f>
        <v/>
      </c>
      <c r="E225" s="54"/>
      <c r="F225" s="54" t="n">
        <f aca="false">IFERROR(INDEX(Cuentas!$C$8:$C$500,MATCH(A225&amp;"|"&amp;E225,Cuentas!$A$8:$A$500&amp;"|"&amp;Cuentas!$B$8:$B$500,0)),"")</f>
        <v>0</v>
      </c>
      <c r="G225" s="54"/>
      <c r="H225" s="82"/>
      <c r="I225" s="82"/>
      <c r="J225" s="54"/>
      <c r="K225" s="54"/>
    </row>
    <row r="226" customFormat="false" ht="18" hidden="false" customHeight="true" outlineLevel="0" collapsed="false">
      <c r="A226" s="55"/>
      <c r="B226" s="55"/>
      <c r="C226" s="77"/>
      <c r="D226" s="67" t="str">
        <f aca="false">IF(C226="","",MONTH(C226))</f>
        <v/>
      </c>
      <c r="E226" s="55"/>
      <c r="F226" s="55" t="n">
        <f aca="false">IFERROR(INDEX(Cuentas!$C$8:$C$500,MATCH(A226&amp;"|"&amp;E226,Cuentas!$A$8:$A$500&amp;"|"&amp;Cuentas!$B$8:$B$500,0)),"")</f>
        <v>0</v>
      </c>
      <c r="G226" s="55"/>
      <c r="H226" s="83"/>
      <c r="I226" s="83"/>
      <c r="J226" s="55"/>
      <c r="K226" s="55"/>
    </row>
    <row r="227" customFormat="false" ht="18" hidden="false" customHeight="true" outlineLevel="0" collapsed="false">
      <c r="A227" s="54"/>
      <c r="B227" s="54"/>
      <c r="C227" s="80"/>
      <c r="D227" s="69" t="str">
        <f aca="false">IF(C227="","",MONTH(C227))</f>
        <v/>
      </c>
      <c r="E227" s="54"/>
      <c r="F227" s="54" t="n">
        <f aca="false">IFERROR(INDEX(Cuentas!$C$8:$C$500,MATCH(A227&amp;"|"&amp;E227,Cuentas!$A$8:$A$500&amp;"|"&amp;Cuentas!$B$8:$B$500,0)),"")</f>
        <v>0</v>
      </c>
      <c r="G227" s="54"/>
      <c r="H227" s="82"/>
      <c r="I227" s="82"/>
      <c r="J227" s="54"/>
      <c r="K227" s="54"/>
    </row>
    <row r="228" customFormat="false" ht="18" hidden="false" customHeight="true" outlineLevel="0" collapsed="false">
      <c r="A228" s="55"/>
      <c r="B228" s="55"/>
      <c r="C228" s="77"/>
      <c r="D228" s="67" t="str">
        <f aca="false">IF(C228="","",MONTH(C228))</f>
        <v/>
      </c>
      <c r="E228" s="55"/>
      <c r="F228" s="55" t="n">
        <f aca="false">IFERROR(INDEX(Cuentas!$C$8:$C$500,MATCH(A228&amp;"|"&amp;E228,Cuentas!$A$8:$A$500&amp;"|"&amp;Cuentas!$B$8:$B$500,0)),"")</f>
        <v>0</v>
      </c>
      <c r="G228" s="55"/>
      <c r="H228" s="83"/>
      <c r="I228" s="83"/>
      <c r="J228" s="55"/>
      <c r="K228" s="55"/>
    </row>
    <row r="229" customFormat="false" ht="18" hidden="false" customHeight="true" outlineLevel="0" collapsed="false">
      <c r="A229" s="54"/>
      <c r="B229" s="54"/>
      <c r="C229" s="80"/>
      <c r="D229" s="69" t="str">
        <f aca="false">IF(C229="","",MONTH(C229))</f>
        <v/>
      </c>
      <c r="E229" s="54"/>
      <c r="F229" s="54" t="n">
        <f aca="false">IFERROR(INDEX(Cuentas!$C$8:$C$500,MATCH(A229&amp;"|"&amp;E229,Cuentas!$A$8:$A$500&amp;"|"&amp;Cuentas!$B$8:$B$500,0)),"")</f>
        <v>0</v>
      </c>
      <c r="G229" s="54"/>
      <c r="H229" s="82"/>
      <c r="I229" s="82"/>
      <c r="J229" s="54"/>
      <c r="K229" s="54"/>
    </row>
    <row r="230" customFormat="false" ht="18" hidden="false" customHeight="true" outlineLevel="0" collapsed="false">
      <c r="A230" s="55"/>
      <c r="B230" s="55"/>
      <c r="C230" s="77"/>
      <c r="D230" s="67" t="str">
        <f aca="false">IF(C230="","",MONTH(C230))</f>
        <v/>
      </c>
      <c r="E230" s="55"/>
      <c r="F230" s="55" t="n">
        <f aca="false">IFERROR(INDEX(Cuentas!$C$8:$C$500,MATCH(A230&amp;"|"&amp;E230,Cuentas!$A$8:$A$500&amp;"|"&amp;Cuentas!$B$8:$B$500,0)),"")</f>
        <v>0</v>
      </c>
      <c r="G230" s="55"/>
      <c r="H230" s="83"/>
      <c r="I230" s="83"/>
      <c r="J230" s="55"/>
      <c r="K230" s="55"/>
    </row>
    <row r="231" customFormat="false" ht="18" hidden="false" customHeight="true" outlineLevel="0" collapsed="false">
      <c r="A231" s="54"/>
      <c r="B231" s="54"/>
      <c r="C231" s="80"/>
      <c r="D231" s="69" t="str">
        <f aca="false">IF(C231="","",MONTH(C231))</f>
        <v/>
      </c>
      <c r="E231" s="54"/>
      <c r="F231" s="54" t="n">
        <f aca="false">IFERROR(INDEX(Cuentas!$C$8:$C$500,MATCH(A231&amp;"|"&amp;E231,Cuentas!$A$8:$A$500&amp;"|"&amp;Cuentas!$B$8:$B$500,0)),"")</f>
        <v>0</v>
      </c>
      <c r="G231" s="54"/>
      <c r="H231" s="82"/>
      <c r="I231" s="82"/>
      <c r="J231" s="54"/>
      <c r="K231" s="54"/>
    </row>
    <row r="232" customFormat="false" ht="18" hidden="false" customHeight="true" outlineLevel="0" collapsed="false">
      <c r="A232" s="55"/>
      <c r="B232" s="55"/>
      <c r="C232" s="77"/>
      <c r="D232" s="67" t="str">
        <f aca="false">IF(C232="","",MONTH(C232))</f>
        <v/>
      </c>
      <c r="E232" s="55"/>
      <c r="F232" s="55" t="n">
        <f aca="false">IFERROR(INDEX(Cuentas!$C$8:$C$500,MATCH(A232&amp;"|"&amp;E232,Cuentas!$A$8:$A$500&amp;"|"&amp;Cuentas!$B$8:$B$500,0)),"")</f>
        <v>0</v>
      </c>
      <c r="G232" s="55"/>
      <c r="H232" s="83"/>
      <c r="I232" s="83"/>
      <c r="J232" s="55"/>
      <c r="K232" s="55"/>
    </row>
    <row r="233" customFormat="false" ht="18" hidden="false" customHeight="true" outlineLevel="0" collapsed="false">
      <c r="A233" s="54"/>
      <c r="B233" s="54"/>
      <c r="C233" s="80"/>
      <c r="D233" s="69" t="str">
        <f aca="false">IF(C233="","",MONTH(C233))</f>
        <v/>
      </c>
      <c r="E233" s="54"/>
      <c r="F233" s="54" t="n">
        <f aca="false">IFERROR(INDEX(Cuentas!$C$8:$C$500,MATCH(A233&amp;"|"&amp;E233,Cuentas!$A$8:$A$500&amp;"|"&amp;Cuentas!$B$8:$B$500,0)),"")</f>
        <v>0</v>
      </c>
      <c r="G233" s="54"/>
      <c r="H233" s="82"/>
      <c r="I233" s="82"/>
      <c r="J233" s="54"/>
      <c r="K233" s="54"/>
    </row>
    <row r="234" customFormat="false" ht="18" hidden="false" customHeight="true" outlineLevel="0" collapsed="false">
      <c r="A234" s="55"/>
      <c r="B234" s="55"/>
      <c r="C234" s="77"/>
      <c r="D234" s="67" t="str">
        <f aca="false">IF(C234="","",MONTH(C234))</f>
        <v/>
      </c>
      <c r="E234" s="55"/>
      <c r="F234" s="55" t="n">
        <f aca="false">IFERROR(INDEX(Cuentas!$C$8:$C$500,MATCH(A234&amp;"|"&amp;E234,Cuentas!$A$8:$A$500&amp;"|"&amp;Cuentas!$B$8:$B$500,0)),"")</f>
        <v>0</v>
      </c>
      <c r="G234" s="55"/>
      <c r="H234" s="83"/>
      <c r="I234" s="83"/>
      <c r="J234" s="55"/>
      <c r="K234" s="55"/>
    </row>
    <row r="235" customFormat="false" ht="18" hidden="false" customHeight="true" outlineLevel="0" collapsed="false">
      <c r="A235" s="54"/>
      <c r="B235" s="54"/>
      <c r="C235" s="80"/>
      <c r="D235" s="69" t="str">
        <f aca="false">IF(C235="","",MONTH(C235))</f>
        <v/>
      </c>
      <c r="E235" s="54"/>
      <c r="F235" s="54" t="n">
        <f aca="false">IFERROR(INDEX(Cuentas!$C$8:$C$500,MATCH(A235&amp;"|"&amp;E235,Cuentas!$A$8:$A$500&amp;"|"&amp;Cuentas!$B$8:$B$500,0)),"")</f>
        <v>0</v>
      </c>
      <c r="G235" s="54"/>
      <c r="H235" s="82"/>
      <c r="I235" s="82"/>
      <c r="J235" s="54"/>
      <c r="K235" s="54"/>
    </row>
    <row r="236" customFormat="false" ht="18" hidden="false" customHeight="true" outlineLevel="0" collapsed="false">
      <c r="A236" s="55"/>
      <c r="B236" s="55"/>
      <c r="C236" s="77"/>
      <c r="D236" s="67" t="str">
        <f aca="false">IF(C236="","",MONTH(C236))</f>
        <v/>
      </c>
      <c r="E236" s="55"/>
      <c r="F236" s="55" t="n">
        <f aca="false">IFERROR(INDEX(Cuentas!$C$8:$C$500,MATCH(A236&amp;"|"&amp;E236,Cuentas!$A$8:$A$500&amp;"|"&amp;Cuentas!$B$8:$B$500,0)),"")</f>
        <v>0</v>
      </c>
      <c r="G236" s="55"/>
      <c r="H236" s="83"/>
      <c r="I236" s="83"/>
      <c r="J236" s="55"/>
      <c r="K236" s="55"/>
    </row>
    <row r="237" customFormat="false" ht="18" hidden="false" customHeight="true" outlineLevel="0" collapsed="false">
      <c r="A237" s="54"/>
      <c r="B237" s="54"/>
      <c r="C237" s="80"/>
      <c r="D237" s="69" t="str">
        <f aca="false">IF(C237="","",MONTH(C237))</f>
        <v/>
      </c>
      <c r="E237" s="54"/>
      <c r="F237" s="54" t="n">
        <f aca="false">IFERROR(INDEX(Cuentas!$C$8:$C$500,MATCH(A237&amp;"|"&amp;E237,Cuentas!$A$8:$A$500&amp;"|"&amp;Cuentas!$B$8:$B$500,0)),"")</f>
        <v>0</v>
      </c>
      <c r="G237" s="54"/>
      <c r="H237" s="82"/>
      <c r="I237" s="82"/>
      <c r="J237" s="54"/>
      <c r="K237" s="54"/>
    </row>
    <row r="238" customFormat="false" ht="18" hidden="false" customHeight="true" outlineLevel="0" collapsed="false">
      <c r="A238" s="55"/>
      <c r="B238" s="55"/>
      <c r="C238" s="77"/>
      <c r="D238" s="67" t="str">
        <f aca="false">IF(C238="","",MONTH(C238))</f>
        <v/>
      </c>
      <c r="E238" s="55"/>
      <c r="F238" s="55" t="n">
        <f aca="false">IFERROR(INDEX(Cuentas!$C$8:$C$500,MATCH(A238&amp;"|"&amp;E238,Cuentas!$A$8:$A$500&amp;"|"&amp;Cuentas!$B$8:$B$500,0)),"")</f>
        <v>0</v>
      </c>
      <c r="G238" s="55"/>
      <c r="H238" s="83"/>
      <c r="I238" s="83"/>
      <c r="J238" s="55"/>
      <c r="K238" s="55"/>
    </row>
    <row r="239" customFormat="false" ht="18" hidden="false" customHeight="true" outlineLevel="0" collapsed="false">
      <c r="A239" s="54"/>
      <c r="B239" s="54"/>
      <c r="C239" s="80"/>
      <c r="D239" s="69" t="str">
        <f aca="false">IF(C239="","",MONTH(C239))</f>
        <v/>
      </c>
      <c r="E239" s="54"/>
      <c r="F239" s="54" t="n">
        <f aca="false">IFERROR(INDEX(Cuentas!$C$8:$C$500,MATCH(A239&amp;"|"&amp;E239,Cuentas!$A$8:$A$500&amp;"|"&amp;Cuentas!$B$8:$B$500,0)),"")</f>
        <v>0</v>
      </c>
      <c r="G239" s="54"/>
      <c r="H239" s="82"/>
      <c r="I239" s="82"/>
      <c r="J239" s="54"/>
      <c r="K239" s="54"/>
    </row>
    <row r="240" customFormat="false" ht="18" hidden="false" customHeight="true" outlineLevel="0" collapsed="false">
      <c r="A240" s="55"/>
      <c r="B240" s="55"/>
      <c r="C240" s="77"/>
      <c r="D240" s="67" t="str">
        <f aca="false">IF(C240="","",MONTH(C240))</f>
        <v/>
      </c>
      <c r="E240" s="55"/>
      <c r="F240" s="55" t="n">
        <f aca="false">IFERROR(INDEX(Cuentas!$C$8:$C$500,MATCH(A240&amp;"|"&amp;E240,Cuentas!$A$8:$A$500&amp;"|"&amp;Cuentas!$B$8:$B$500,0)),"")</f>
        <v>0</v>
      </c>
      <c r="G240" s="55"/>
      <c r="H240" s="83"/>
      <c r="I240" s="83"/>
      <c r="J240" s="55"/>
      <c r="K240" s="55"/>
    </row>
    <row r="241" customFormat="false" ht="18" hidden="false" customHeight="true" outlineLevel="0" collapsed="false">
      <c r="A241" s="54"/>
      <c r="B241" s="54"/>
      <c r="C241" s="80"/>
      <c r="D241" s="69" t="str">
        <f aca="false">IF(C241="","",MONTH(C241))</f>
        <v/>
      </c>
      <c r="E241" s="54"/>
      <c r="F241" s="54" t="n">
        <f aca="false">IFERROR(INDEX(Cuentas!$C$8:$C$500,MATCH(A241&amp;"|"&amp;E241,Cuentas!$A$8:$A$500&amp;"|"&amp;Cuentas!$B$8:$B$500,0)),"")</f>
        <v>0</v>
      </c>
      <c r="G241" s="54"/>
      <c r="H241" s="82"/>
      <c r="I241" s="82"/>
      <c r="J241" s="54"/>
      <c r="K241" s="54"/>
    </row>
    <row r="242" customFormat="false" ht="18" hidden="false" customHeight="true" outlineLevel="0" collapsed="false">
      <c r="A242" s="55"/>
      <c r="B242" s="55"/>
      <c r="C242" s="77"/>
      <c r="D242" s="67" t="str">
        <f aca="false">IF(C242="","",MONTH(C242))</f>
        <v/>
      </c>
      <c r="E242" s="55"/>
      <c r="F242" s="55" t="n">
        <f aca="false">IFERROR(INDEX(Cuentas!$C$8:$C$500,MATCH(A242&amp;"|"&amp;E242,Cuentas!$A$8:$A$500&amp;"|"&amp;Cuentas!$B$8:$B$500,0)),"")</f>
        <v>0</v>
      </c>
      <c r="G242" s="55"/>
      <c r="H242" s="83"/>
      <c r="I242" s="83"/>
      <c r="J242" s="55"/>
      <c r="K242" s="55"/>
    </row>
    <row r="243" customFormat="false" ht="18" hidden="false" customHeight="true" outlineLevel="0" collapsed="false">
      <c r="A243" s="54"/>
      <c r="B243" s="54"/>
      <c r="C243" s="80"/>
      <c r="D243" s="69" t="str">
        <f aca="false">IF(C243="","",MONTH(C243))</f>
        <v/>
      </c>
      <c r="E243" s="54"/>
      <c r="F243" s="54" t="n">
        <f aca="false">IFERROR(INDEX(Cuentas!$C$8:$C$500,MATCH(A243&amp;"|"&amp;E243,Cuentas!$A$8:$A$500&amp;"|"&amp;Cuentas!$B$8:$B$500,0)),"")</f>
        <v>0</v>
      </c>
      <c r="G243" s="54"/>
      <c r="H243" s="82"/>
      <c r="I243" s="82"/>
      <c r="J243" s="54"/>
      <c r="K243" s="54"/>
    </row>
    <row r="244" customFormat="false" ht="18" hidden="false" customHeight="true" outlineLevel="0" collapsed="false">
      <c r="A244" s="55"/>
      <c r="B244" s="55"/>
      <c r="C244" s="77"/>
      <c r="D244" s="67" t="str">
        <f aca="false">IF(C244="","",MONTH(C244))</f>
        <v/>
      </c>
      <c r="E244" s="55"/>
      <c r="F244" s="55" t="n">
        <f aca="false">IFERROR(INDEX(Cuentas!$C$8:$C$500,MATCH(A244&amp;"|"&amp;E244,Cuentas!$A$8:$A$500&amp;"|"&amp;Cuentas!$B$8:$B$500,0)),"")</f>
        <v>0</v>
      </c>
      <c r="G244" s="55"/>
      <c r="H244" s="83"/>
      <c r="I244" s="83"/>
      <c r="J244" s="55"/>
      <c r="K244" s="55"/>
    </row>
    <row r="245" customFormat="false" ht="18" hidden="false" customHeight="true" outlineLevel="0" collapsed="false">
      <c r="A245" s="54"/>
      <c r="B245" s="54"/>
      <c r="C245" s="80"/>
      <c r="D245" s="69" t="str">
        <f aca="false">IF(C245="","",MONTH(C245))</f>
        <v/>
      </c>
      <c r="E245" s="54"/>
      <c r="F245" s="54" t="n">
        <f aca="false">IFERROR(INDEX(Cuentas!$C$8:$C$500,MATCH(A245&amp;"|"&amp;E245,Cuentas!$A$8:$A$500&amp;"|"&amp;Cuentas!$B$8:$B$500,0)),"")</f>
        <v>0</v>
      </c>
      <c r="G245" s="54"/>
      <c r="H245" s="82"/>
      <c r="I245" s="82"/>
      <c r="J245" s="54"/>
      <c r="K245" s="54"/>
    </row>
    <row r="246" customFormat="false" ht="18" hidden="false" customHeight="true" outlineLevel="0" collapsed="false">
      <c r="A246" s="55"/>
      <c r="B246" s="55"/>
      <c r="C246" s="77"/>
      <c r="D246" s="67" t="str">
        <f aca="false">IF(C246="","",MONTH(C246))</f>
        <v/>
      </c>
      <c r="E246" s="55"/>
      <c r="F246" s="55" t="n">
        <f aca="false">IFERROR(INDEX(Cuentas!$C$8:$C$500,MATCH(A246&amp;"|"&amp;E246,Cuentas!$A$8:$A$500&amp;"|"&amp;Cuentas!$B$8:$B$500,0)),"")</f>
        <v>0</v>
      </c>
      <c r="G246" s="55"/>
      <c r="H246" s="83"/>
      <c r="I246" s="83"/>
      <c r="J246" s="55"/>
      <c r="K246" s="55"/>
    </row>
    <row r="247" customFormat="false" ht="18" hidden="false" customHeight="true" outlineLevel="0" collapsed="false">
      <c r="A247" s="54"/>
      <c r="B247" s="54"/>
      <c r="C247" s="80"/>
      <c r="D247" s="69" t="str">
        <f aca="false">IF(C247="","",MONTH(C247))</f>
        <v/>
      </c>
      <c r="E247" s="54"/>
      <c r="F247" s="54" t="n">
        <f aca="false">IFERROR(INDEX(Cuentas!$C$8:$C$500,MATCH(A247&amp;"|"&amp;E247,Cuentas!$A$8:$A$500&amp;"|"&amp;Cuentas!$B$8:$B$500,0)),"")</f>
        <v>0</v>
      </c>
      <c r="G247" s="54"/>
      <c r="H247" s="82"/>
      <c r="I247" s="82"/>
      <c r="J247" s="54"/>
      <c r="K247" s="54"/>
    </row>
    <row r="248" customFormat="false" ht="18" hidden="false" customHeight="true" outlineLevel="0" collapsed="false">
      <c r="A248" s="55"/>
      <c r="B248" s="55"/>
      <c r="C248" s="77"/>
      <c r="D248" s="67" t="str">
        <f aca="false">IF(C248="","",MONTH(C248))</f>
        <v/>
      </c>
      <c r="E248" s="55"/>
      <c r="F248" s="55" t="n">
        <f aca="false">IFERROR(INDEX(Cuentas!$C$8:$C$500,MATCH(A248&amp;"|"&amp;E248,Cuentas!$A$8:$A$500&amp;"|"&amp;Cuentas!$B$8:$B$500,0)),"")</f>
        <v>0</v>
      </c>
      <c r="G248" s="55"/>
      <c r="H248" s="83"/>
      <c r="I248" s="83"/>
      <c r="J248" s="55"/>
      <c r="K248" s="55"/>
    </row>
    <row r="249" customFormat="false" ht="18" hidden="false" customHeight="true" outlineLevel="0" collapsed="false">
      <c r="A249" s="54"/>
      <c r="B249" s="54"/>
      <c r="C249" s="80"/>
      <c r="D249" s="69" t="str">
        <f aca="false">IF(C249="","",MONTH(C249))</f>
        <v/>
      </c>
      <c r="E249" s="54"/>
      <c r="F249" s="54" t="n">
        <f aca="false">IFERROR(INDEX(Cuentas!$C$8:$C$500,MATCH(A249&amp;"|"&amp;E249,Cuentas!$A$8:$A$500&amp;"|"&amp;Cuentas!$B$8:$B$500,0)),"")</f>
        <v>0</v>
      </c>
      <c r="G249" s="54"/>
      <c r="H249" s="82"/>
      <c r="I249" s="82"/>
      <c r="J249" s="54"/>
      <c r="K249" s="54"/>
    </row>
    <row r="250" customFormat="false" ht="18" hidden="false" customHeight="true" outlineLevel="0" collapsed="false">
      <c r="A250" s="55"/>
      <c r="B250" s="55"/>
      <c r="C250" s="77"/>
      <c r="D250" s="67" t="str">
        <f aca="false">IF(C250="","",MONTH(C250))</f>
        <v/>
      </c>
      <c r="E250" s="55"/>
      <c r="F250" s="55" t="n">
        <f aca="false">IFERROR(INDEX(Cuentas!$C$8:$C$500,MATCH(A250&amp;"|"&amp;E250,Cuentas!$A$8:$A$500&amp;"|"&amp;Cuentas!$B$8:$B$500,0)),"")</f>
        <v>0</v>
      </c>
      <c r="G250" s="55"/>
      <c r="H250" s="83"/>
      <c r="I250" s="83"/>
      <c r="J250" s="55"/>
      <c r="K250" s="55"/>
    </row>
    <row r="251" customFormat="false" ht="18" hidden="false" customHeight="true" outlineLevel="0" collapsed="false">
      <c r="A251" s="54"/>
      <c r="B251" s="54"/>
      <c r="C251" s="80"/>
      <c r="D251" s="69" t="str">
        <f aca="false">IF(C251="","",MONTH(C251))</f>
        <v/>
      </c>
      <c r="E251" s="54"/>
      <c r="F251" s="54" t="n">
        <f aca="false">IFERROR(INDEX(Cuentas!$C$8:$C$500,MATCH(A251&amp;"|"&amp;E251,Cuentas!$A$8:$A$500&amp;"|"&amp;Cuentas!$B$8:$B$500,0)),"")</f>
        <v>0</v>
      </c>
      <c r="G251" s="54"/>
      <c r="H251" s="82"/>
      <c r="I251" s="82"/>
      <c r="J251" s="54"/>
      <c r="K251" s="54"/>
    </row>
    <row r="252" customFormat="false" ht="18" hidden="false" customHeight="true" outlineLevel="0" collapsed="false">
      <c r="A252" s="55"/>
      <c r="B252" s="55"/>
      <c r="C252" s="77"/>
      <c r="D252" s="67" t="str">
        <f aca="false">IF(C252="","",MONTH(C252))</f>
        <v/>
      </c>
      <c r="E252" s="55"/>
      <c r="F252" s="55" t="n">
        <f aca="false">IFERROR(INDEX(Cuentas!$C$8:$C$500,MATCH(A252&amp;"|"&amp;E252,Cuentas!$A$8:$A$500&amp;"|"&amp;Cuentas!$B$8:$B$500,0)),"")</f>
        <v>0</v>
      </c>
      <c r="G252" s="55"/>
      <c r="H252" s="83"/>
      <c r="I252" s="83"/>
      <c r="J252" s="55"/>
      <c r="K252" s="55"/>
    </row>
    <row r="253" customFormat="false" ht="18" hidden="false" customHeight="true" outlineLevel="0" collapsed="false">
      <c r="A253" s="54"/>
      <c r="B253" s="54"/>
      <c r="C253" s="80"/>
      <c r="D253" s="69" t="str">
        <f aca="false">IF(C253="","",MONTH(C253))</f>
        <v/>
      </c>
      <c r="E253" s="54"/>
      <c r="F253" s="54" t="n">
        <f aca="false">IFERROR(INDEX(Cuentas!$C$8:$C$500,MATCH(A253&amp;"|"&amp;E253,Cuentas!$A$8:$A$500&amp;"|"&amp;Cuentas!$B$8:$B$500,0)),"")</f>
        <v>0</v>
      </c>
      <c r="G253" s="54"/>
      <c r="H253" s="82"/>
      <c r="I253" s="82"/>
      <c r="J253" s="54"/>
      <c r="K253" s="54"/>
    </row>
    <row r="254" customFormat="false" ht="18" hidden="false" customHeight="true" outlineLevel="0" collapsed="false">
      <c r="A254" s="55"/>
      <c r="B254" s="55"/>
      <c r="C254" s="77"/>
      <c r="D254" s="67" t="str">
        <f aca="false">IF(C254="","",MONTH(C254))</f>
        <v/>
      </c>
      <c r="E254" s="55"/>
      <c r="F254" s="55" t="n">
        <f aca="false">IFERROR(INDEX(Cuentas!$C$8:$C$500,MATCH(A254&amp;"|"&amp;E254,Cuentas!$A$8:$A$500&amp;"|"&amp;Cuentas!$B$8:$B$500,0)),"")</f>
        <v>0</v>
      </c>
      <c r="G254" s="55"/>
      <c r="H254" s="83"/>
      <c r="I254" s="83"/>
      <c r="J254" s="55"/>
      <c r="K254" s="55"/>
    </row>
    <row r="255" customFormat="false" ht="18" hidden="false" customHeight="true" outlineLevel="0" collapsed="false">
      <c r="A255" s="54"/>
      <c r="B255" s="54"/>
      <c r="C255" s="80"/>
      <c r="D255" s="69" t="str">
        <f aca="false">IF(C255="","",MONTH(C255))</f>
        <v/>
      </c>
      <c r="E255" s="54"/>
      <c r="F255" s="54" t="n">
        <f aca="false">IFERROR(INDEX(Cuentas!$C$8:$C$500,MATCH(A255&amp;"|"&amp;E255,Cuentas!$A$8:$A$500&amp;"|"&amp;Cuentas!$B$8:$B$500,0)),"")</f>
        <v>0</v>
      </c>
      <c r="G255" s="54"/>
      <c r="H255" s="82"/>
      <c r="I255" s="82"/>
      <c r="J255" s="54"/>
      <c r="K255" s="54"/>
    </row>
    <row r="256" customFormat="false" ht="18" hidden="false" customHeight="true" outlineLevel="0" collapsed="false">
      <c r="A256" s="55"/>
      <c r="B256" s="55"/>
      <c r="C256" s="77"/>
      <c r="D256" s="67" t="str">
        <f aca="false">IF(C256="","",MONTH(C256))</f>
        <v/>
      </c>
      <c r="E256" s="55"/>
      <c r="F256" s="55" t="n">
        <f aca="false">IFERROR(INDEX(Cuentas!$C$8:$C$500,MATCH(A256&amp;"|"&amp;E256,Cuentas!$A$8:$A$500&amp;"|"&amp;Cuentas!$B$8:$B$500,0)),"")</f>
        <v>0</v>
      </c>
      <c r="G256" s="55"/>
      <c r="H256" s="83"/>
      <c r="I256" s="83"/>
      <c r="J256" s="55"/>
      <c r="K256" s="55"/>
    </row>
    <row r="257" customFormat="false" ht="18" hidden="false" customHeight="true" outlineLevel="0" collapsed="false">
      <c r="A257" s="54"/>
      <c r="B257" s="54"/>
      <c r="C257" s="80"/>
      <c r="D257" s="69" t="str">
        <f aca="false">IF(C257="","",MONTH(C257))</f>
        <v/>
      </c>
      <c r="E257" s="54"/>
      <c r="F257" s="54" t="n">
        <f aca="false">IFERROR(INDEX(Cuentas!$C$8:$C$500,MATCH(A257&amp;"|"&amp;E257,Cuentas!$A$8:$A$500&amp;"|"&amp;Cuentas!$B$8:$B$500,0)),"")</f>
        <v>0</v>
      </c>
      <c r="G257" s="54"/>
      <c r="H257" s="82"/>
      <c r="I257" s="82"/>
      <c r="J257" s="54"/>
      <c r="K257" s="54"/>
    </row>
    <row r="258" customFormat="false" ht="18" hidden="false" customHeight="true" outlineLevel="0" collapsed="false">
      <c r="A258" s="55"/>
      <c r="B258" s="55"/>
      <c r="C258" s="77"/>
      <c r="D258" s="67" t="str">
        <f aca="false">IF(C258="","",MONTH(C258))</f>
        <v/>
      </c>
      <c r="E258" s="55"/>
      <c r="F258" s="55" t="n">
        <f aca="false">IFERROR(INDEX(Cuentas!$C$8:$C$500,MATCH(A258&amp;"|"&amp;E258,Cuentas!$A$8:$A$500&amp;"|"&amp;Cuentas!$B$8:$B$500,0)),"")</f>
        <v>0</v>
      </c>
      <c r="G258" s="55"/>
      <c r="H258" s="83"/>
      <c r="I258" s="83"/>
      <c r="J258" s="55"/>
      <c r="K258" s="55"/>
    </row>
    <row r="259" customFormat="false" ht="18" hidden="false" customHeight="true" outlineLevel="0" collapsed="false">
      <c r="A259" s="54"/>
      <c r="B259" s="54"/>
      <c r="C259" s="80"/>
      <c r="D259" s="69" t="str">
        <f aca="false">IF(C259="","",MONTH(C259))</f>
        <v/>
      </c>
      <c r="E259" s="54"/>
      <c r="F259" s="54" t="n">
        <f aca="false">IFERROR(INDEX(Cuentas!$C$8:$C$500,MATCH(A259&amp;"|"&amp;E259,Cuentas!$A$8:$A$500&amp;"|"&amp;Cuentas!$B$8:$B$500,0)),"")</f>
        <v>0</v>
      </c>
      <c r="G259" s="54"/>
      <c r="H259" s="82"/>
      <c r="I259" s="82"/>
      <c r="J259" s="54"/>
      <c r="K259" s="54"/>
    </row>
    <row r="260" customFormat="false" ht="18" hidden="false" customHeight="true" outlineLevel="0" collapsed="false">
      <c r="A260" s="55"/>
      <c r="B260" s="55"/>
      <c r="C260" s="77"/>
      <c r="D260" s="67" t="str">
        <f aca="false">IF(C260="","",MONTH(C260))</f>
        <v/>
      </c>
      <c r="E260" s="55"/>
      <c r="F260" s="55" t="n">
        <f aca="false">IFERROR(INDEX(Cuentas!$C$8:$C$500,MATCH(A260&amp;"|"&amp;E260,Cuentas!$A$8:$A$500&amp;"|"&amp;Cuentas!$B$8:$B$500,0)),"")</f>
        <v>0</v>
      </c>
      <c r="G260" s="55"/>
      <c r="H260" s="83"/>
      <c r="I260" s="83"/>
      <c r="J260" s="55"/>
      <c r="K260" s="55"/>
    </row>
    <row r="261" customFormat="false" ht="18" hidden="false" customHeight="true" outlineLevel="0" collapsed="false">
      <c r="A261" s="54"/>
      <c r="B261" s="54"/>
      <c r="C261" s="80"/>
      <c r="D261" s="69" t="str">
        <f aca="false">IF(C261="","",MONTH(C261))</f>
        <v/>
      </c>
      <c r="E261" s="54"/>
      <c r="F261" s="54" t="n">
        <f aca="false">IFERROR(INDEX(Cuentas!$C$8:$C$500,MATCH(A261&amp;"|"&amp;E261,Cuentas!$A$8:$A$500&amp;"|"&amp;Cuentas!$B$8:$B$500,0)),"")</f>
        <v>0</v>
      </c>
      <c r="G261" s="54"/>
      <c r="H261" s="82"/>
      <c r="I261" s="82"/>
      <c r="J261" s="54"/>
      <c r="K261" s="54"/>
    </row>
    <row r="262" customFormat="false" ht="18" hidden="false" customHeight="true" outlineLevel="0" collapsed="false">
      <c r="A262" s="55"/>
      <c r="B262" s="55"/>
      <c r="C262" s="77"/>
      <c r="D262" s="67" t="str">
        <f aca="false">IF(C262="","",MONTH(C262))</f>
        <v/>
      </c>
      <c r="E262" s="55"/>
      <c r="F262" s="55" t="n">
        <f aca="false">IFERROR(INDEX(Cuentas!$C$8:$C$500,MATCH(A262&amp;"|"&amp;E262,Cuentas!$A$8:$A$500&amp;"|"&amp;Cuentas!$B$8:$B$500,0)),"")</f>
        <v>0</v>
      </c>
      <c r="G262" s="55"/>
      <c r="H262" s="83"/>
      <c r="I262" s="83"/>
      <c r="J262" s="55"/>
      <c r="K262" s="55"/>
    </row>
    <row r="263" customFormat="false" ht="18" hidden="false" customHeight="true" outlineLevel="0" collapsed="false">
      <c r="A263" s="54"/>
      <c r="B263" s="54"/>
      <c r="C263" s="80"/>
      <c r="D263" s="69" t="str">
        <f aca="false">IF(C263="","",MONTH(C263))</f>
        <v/>
      </c>
      <c r="E263" s="54"/>
      <c r="F263" s="54" t="n">
        <f aca="false">IFERROR(INDEX(Cuentas!$C$8:$C$500,MATCH(A263&amp;"|"&amp;E263,Cuentas!$A$8:$A$500&amp;"|"&amp;Cuentas!$B$8:$B$500,0)),"")</f>
        <v>0</v>
      </c>
      <c r="G263" s="54"/>
      <c r="H263" s="82"/>
      <c r="I263" s="82"/>
      <c r="J263" s="54"/>
      <c r="K263" s="54"/>
    </row>
    <row r="264" customFormat="false" ht="18" hidden="false" customHeight="true" outlineLevel="0" collapsed="false">
      <c r="A264" s="55"/>
      <c r="B264" s="55"/>
      <c r="C264" s="77"/>
      <c r="D264" s="67" t="str">
        <f aca="false">IF(C264="","",MONTH(C264))</f>
        <v/>
      </c>
      <c r="E264" s="55"/>
      <c r="F264" s="55" t="n">
        <f aca="false">IFERROR(INDEX(Cuentas!$C$8:$C$500,MATCH(A264&amp;"|"&amp;E264,Cuentas!$A$8:$A$500&amp;"|"&amp;Cuentas!$B$8:$B$500,0)),"")</f>
        <v>0</v>
      </c>
      <c r="G264" s="55"/>
      <c r="H264" s="83"/>
      <c r="I264" s="83"/>
      <c r="J264" s="55"/>
      <c r="K264" s="55"/>
    </row>
    <row r="265" customFormat="false" ht="18" hidden="false" customHeight="true" outlineLevel="0" collapsed="false">
      <c r="A265" s="54"/>
      <c r="B265" s="54"/>
      <c r="C265" s="80"/>
      <c r="D265" s="69" t="str">
        <f aca="false">IF(C265="","",MONTH(C265))</f>
        <v/>
      </c>
      <c r="E265" s="54"/>
      <c r="F265" s="54" t="n">
        <f aca="false">IFERROR(INDEX(Cuentas!$C$8:$C$500,MATCH(A265&amp;"|"&amp;E265,Cuentas!$A$8:$A$500&amp;"|"&amp;Cuentas!$B$8:$B$500,0)),"")</f>
        <v>0</v>
      </c>
      <c r="G265" s="54"/>
      <c r="H265" s="82"/>
      <c r="I265" s="82"/>
      <c r="J265" s="54"/>
      <c r="K265" s="54"/>
    </row>
    <row r="266" customFormat="false" ht="18" hidden="false" customHeight="true" outlineLevel="0" collapsed="false">
      <c r="A266" s="55"/>
      <c r="B266" s="55"/>
      <c r="C266" s="77"/>
      <c r="D266" s="67" t="str">
        <f aca="false">IF(C266="","",MONTH(C266))</f>
        <v/>
      </c>
      <c r="E266" s="55"/>
      <c r="F266" s="55" t="n">
        <f aca="false">IFERROR(INDEX(Cuentas!$C$8:$C$500,MATCH(A266&amp;"|"&amp;E266,Cuentas!$A$8:$A$500&amp;"|"&amp;Cuentas!$B$8:$B$500,0)),"")</f>
        <v>0</v>
      </c>
      <c r="G266" s="55"/>
      <c r="H266" s="83"/>
      <c r="I266" s="83"/>
      <c r="J266" s="55"/>
      <c r="K266" s="55"/>
    </row>
    <row r="267" customFormat="false" ht="18" hidden="false" customHeight="true" outlineLevel="0" collapsed="false">
      <c r="A267" s="54"/>
      <c r="B267" s="54"/>
      <c r="C267" s="80"/>
      <c r="D267" s="69" t="str">
        <f aca="false">IF(C267="","",MONTH(C267))</f>
        <v/>
      </c>
      <c r="E267" s="54"/>
      <c r="F267" s="54" t="n">
        <f aca="false">IFERROR(INDEX(Cuentas!$C$8:$C$500,MATCH(A267&amp;"|"&amp;E267,Cuentas!$A$8:$A$500&amp;"|"&amp;Cuentas!$B$8:$B$500,0)),"")</f>
        <v>0</v>
      </c>
      <c r="G267" s="54"/>
      <c r="H267" s="82"/>
      <c r="I267" s="82"/>
      <c r="J267" s="54"/>
      <c r="K267" s="54"/>
    </row>
    <row r="268" customFormat="false" ht="18" hidden="false" customHeight="true" outlineLevel="0" collapsed="false">
      <c r="A268" s="55"/>
      <c r="B268" s="55"/>
      <c r="C268" s="77"/>
      <c r="D268" s="67" t="str">
        <f aca="false">IF(C268="","",MONTH(C268))</f>
        <v/>
      </c>
      <c r="E268" s="55"/>
      <c r="F268" s="55" t="n">
        <f aca="false">IFERROR(INDEX(Cuentas!$C$8:$C$500,MATCH(A268&amp;"|"&amp;E268,Cuentas!$A$8:$A$500&amp;"|"&amp;Cuentas!$B$8:$B$500,0)),"")</f>
        <v>0</v>
      </c>
      <c r="G268" s="55"/>
      <c r="H268" s="83"/>
      <c r="I268" s="83"/>
      <c r="J268" s="55"/>
      <c r="K268" s="55"/>
    </row>
    <row r="269" customFormat="false" ht="18" hidden="false" customHeight="true" outlineLevel="0" collapsed="false">
      <c r="A269" s="54"/>
      <c r="B269" s="54"/>
      <c r="C269" s="80"/>
      <c r="D269" s="69" t="str">
        <f aca="false">IF(C269="","",MONTH(C269))</f>
        <v/>
      </c>
      <c r="E269" s="54"/>
      <c r="F269" s="54" t="n">
        <f aca="false">IFERROR(INDEX(Cuentas!$C$8:$C$500,MATCH(A269&amp;"|"&amp;E269,Cuentas!$A$8:$A$500&amp;"|"&amp;Cuentas!$B$8:$B$500,0)),"")</f>
        <v>0</v>
      </c>
      <c r="G269" s="54"/>
      <c r="H269" s="82"/>
      <c r="I269" s="82"/>
      <c r="J269" s="54"/>
      <c r="K269" s="54"/>
    </row>
    <row r="270" customFormat="false" ht="18" hidden="false" customHeight="true" outlineLevel="0" collapsed="false">
      <c r="A270" s="55"/>
      <c r="B270" s="55"/>
      <c r="C270" s="77"/>
      <c r="D270" s="67" t="str">
        <f aca="false">IF(C270="","",MONTH(C270))</f>
        <v/>
      </c>
      <c r="E270" s="55"/>
      <c r="F270" s="55" t="n">
        <f aca="false">IFERROR(INDEX(Cuentas!$C$8:$C$500,MATCH(A270&amp;"|"&amp;E270,Cuentas!$A$8:$A$500&amp;"|"&amp;Cuentas!$B$8:$B$500,0)),"")</f>
        <v>0</v>
      </c>
      <c r="G270" s="55"/>
      <c r="H270" s="83"/>
      <c r="I270" s="83"/>
      <c r="J270" s="55"/>
      <c r="K270" s="55"/>
    </row>
    <row r="271" customFormat="false" ht="18" hidden="false" customHeight="true" outlineLevel="0" collapsed="false">
      <c r="A271" s="54"/>
      <c r="B271" s="54"/>
      <c r="C271" s="80"/>
      <c r="D271" s="69" t="str">
        <f aca="false">IF(C271="","",MONTH(C271))</f>
        <v/>
      </c>
      <c r="E271" s="54"/>
      <c r="F271" s="54" t="n">
        <f aca="false">IFERROR(INDEX(Cuentas!$C$8:$C$500,MATCH(A271&amp;"|"&amp;E271,Cuentas!$A$8:$A$500&amp;"|"&amp;Cuentas!$B$8:$B$500,0)),"")</f>
        <v>0</v>
      </c>
      <c r="G271" s="54"/>
      <c r="H271" s="82"/>
      <c r="I271" s="82"/>
      <c r="J271" s="54"/>
      <c r="K271" s="54"/>
    </row>
    <row r="272" customFormat="false" ht="18" hidden="false" customHeight="true" outlineLevel="0" collapsed="false">
      <c r="A272" s="55"/>
      <c r="B272" s="55"/>
      <c r="C272" s="77"/>
      <c r="D272" s="67" t="str">
        <f aca="false">IF(C272="","",MONTH(C272))</f>
        <v/>
      </c>
      <c r="E272" s="55"/>
      <c r="F272" s="55" t="n">
        <f aca="false">IFERROR(INDEX(Cuentas!$C$8:$C$500,MATCH(A272&amp;"|"&amp;E272,Cuentas!$A$8:$A$500&amp;"|"&amp;Cuentas!$B$8:$B$500,0)),"")</f>
        <v>0</v>
      </c>
      <c r="G272" s="55"/>
      <c r="H272" s="83"/>
      <c r="I272" s="83"/>
      <c r="J272" s="55"/>
      <c r="K272" s="55"/>
    </row>
    <row r="273" customFormat="false" ht="18" hidden="false" customHeight="true" outlineLevel="0" collapsed="false">
      <c r="A273" s="54"/>
      <c r="B273" s="54"/>
      <c r="C273" s="80"/>
      <c r="D273" s="69" t="str">
        <f aca="false">IF(C273="","",MONTH(C273))</f>
        <v/>
      </c>
      <c r="E273" s="54"/>
      <c r="F273" s="54" t="n">
        <f aca="false">IFERROR(INDEX(Cuentas!$C$8:$C$500,MATCH(A273&amp;"|"&amp;E273,Cuentas!$A$8:$A$500&amp;"|"&amp;Cuentas!$B$8:$B$500,0)),"")</f>
        <v>0</v>
      </c>
      <c r="G273" s="54"/>
      <c r="H273" s="82"/>
      <c r="I273" s="82"/>
      <c r="J273" s="54"/>
      <c r="K273" s="54"/>
    </row>
    <row r="274" customFormat="false" ht="18" hidden="false" customHeight="true" outlineLevel="0" collapsed="false">
      <c r="A274" s="55"/>
      <c r="B274" s="55"/>
      <c r="C274" s="77"/>
      <c r="D274" s="67" t="str">
        <f aca="false">IF(C274="","",MONTH(C274))</f>
        <v/>
      </c>
      <c r="E274" s="55"/>
      <c r="F274" s="55" t="n">
        <f aca="false">IFERROR(INDEX(Cuentas!$C$8:$C$500,MATCH(A274&amp;"|"&amp;E274,Cuentas!$A$8:$A$500&amp;"|"&amp;Cuentas!$B$8:$B$500,0)),"")</f>
        <v>0</v>
      </c>
      <c r="G274" s="55"/>
      <c r="H274" s="83"/>
      <c r="I274" s="83"/>
      <c r="J274" s="55"/>
      <c r="K274" s="55"/>
    </row>
    <row r="275" customFormat="false" ht="18" hidden="false" customHeight="true" outlineLevel="0" collapsed="false">
      <c r="A275" s="54"/>
      <c r="B275" s="54"/>
      <c r="C275" s="80"/>
      <c r="D275" s="69" t="str">
        <f aca="false">IF(C275="","",MONTH(C275))</f>
        <v/>
      </c>
      <c r="E275" s="54"/>
      <c r="F275" s="54" t="n">
        <f aca="false">IFERROR(INDEX(Cuentas!$C$8:$C$500,MATCH(A275&amp;"|"&amp;E275,Cuentas!$A$8:$A$500&amp;"|"&amp;Cuentas!$B$8:$B$500,0)),"")</f>
        <v>0</v>
      </c>
      <c r="G275" s="54"/>
      <c r="H275" s="82"/>
      <c r="I275" s="82"/>
      <c r="J275" s="54"/>
      <c r="K275" s="54"/>
    </row>
    <row r="276" customFormat="false" ht="18" hidden="false" customHeight="true" outlineLevel="0" collapsed="false">
      <c r="A276" s="55"/>
      <c r="B276" s="55"/>
      <c r="C276" s="77"/>
      <c r="D276" s="67" t="str">
        <f aca="false">IF(C276="","",MONTH(C276))</f>
        <v/>
      </c>
      <c r="E276" s="55"/>
      <c r="F276" s="55" t="n">
        <f aca="false">IFERROR(INDEX(Cuentas!$C$8:$C$500,MATCH(A276&amp;"|"&amp;E276,Cuentas!$A$8:$A$500&amp;"|"&amp;Cuentas!$B$8:$B$500,0)),"")</f>
        <v>0</v>
      </c>
      <c r="G276" s="55"/>
      <c r="H276" s="83"/>
      <c r="I276" s="83"/>
      <c r="J276" s="55"/>
      <c r="K276" s="55"/>
    </row>
    <row r="277" customFormat="false" ht="18" hidden="false" customHeight="true" outlineLevel="0" collapsed="false">
      <c r="A277" s="54"/>
      <c r="B277" s="54"/>
      <c r="C277" s="80"/>
      <c r="D277" s="69" t="str">
        <f aca="false">IF(C277="","",MONTH(C277))</f>
        <v/>
      </c>
      <c r="E277" s="54"/>
      <c r="F277" s="54" t="n">
        <f aca="false">IFERROR(INDEX(Cuentas!$C$8:$C$500,MATCH(A277&amp;"|"&amp;E277,Cuentas!$A$8:$A$500&amp;"|"&amp;Cuentas!$B$8:$B$500,0)),"")</f>
        <v>0</v>
      </c>
      <c r="G277" s="54"/>
      <c r="H277" s="82"/>
      <c r="I277" s="82"/>
      <c r="J277" s="54"/>
      <c r="K277" s="54"/>
    </row>
    <row r="278" customFormat="false" ht="18" hidden="false" customHeight="true" outlineLevel="0" collapsed="false">
      <c r="A278" s="55"/>
      <c r="B278" s="55"/>
      <c r="C278" s="77"/>
      <c r="D278" s="67" t="str">
        <f aca="false">IF(C278="","",MONTH(C278))</f>
        <v/>
      </c>
      <c r="E278" s="55"/>
      <c r="F278" s="55" t="n">
        <f aca="false">IFERROR(INDEX(Cuentas!$C$8:$C$500,MATCH(A278&amp;"|"&amp;E278,Cuentas!$A$8:$A$500&amp;"|"&amp;Cuentas!$B$8:$B$500,0)),"")</f>
        <v>0</v>
      </c>
      <c r="G278" s="55"/>
      <c r="H278" s="83"/>
      <c r="I278" s="83"/>
      <c r="J278" s="55"/>
      <c r="K278" s="55"/>
    </row>
    <row r="279" customFormat="false" ht="18" hidden="false" customHeight="true" outlineLevel="0" collapsed="false">
      <c r="A279" s="54"/>
      <c r="B279" s="54"/>
      <c r="C279" s="80"/>
      <c r="D279" s="69" t="str">
        <f aca="false">IF(C279="","",MONTH(C279))</f>
        <v/>
      </c>
      <c r="E279" s="54"/>
      <c r="F279" s="54" t="n">
        <f aca="false">IFERROR(INDEX(Cuentas!$C$8:$C$500,MATCH(A279&amp;"|"&amp;E279,Cuentas!$A$8:$A$500&amp;"|"&amp;Cuentas!$B$8:$B$500,0)),"")</f>
        <v>0</v>
      </c>
      <c r="G279" s="54"/>
      <c r="H279" s="82"/>
      <c r="I279" s="82"/>
      <c r="J279" s="54"/>
      <c r="K279" s="54"/>
    </row>
    <row r="280" customFormat="false" ht="18" hidden="false" customHeight="true" outlineLevel="0" collapsed="false">
      <c r="A280" s="55"/>
      <c r="B280" s="55"/>
      <c r="C280" s="77"/>
      <c r="D280" s="67" t="str">
        <f aca="false">IF(C280="","",MONTH(C280))</f>
        <v/>
      </c>
      <c r="E280" s="55"/>
      <c r="F280" s="55" t="n">
        <f aca="false">IFERROR(INDEX(Cuentas!$C$8:$C$500,MATCH(A280&amp;"|"&amp;E280,Cuentas!$A$8:$A$500&amp;"|"&amp;Cuentas!$B$8:$B$500,0)),"")</f>
        <v>0</v>
      </c>
      <c r="G280" s="55"/>
      <c r="H280" s="83"/>
      <c r="I280" s="83"/>
      <c r="J280" s="55"/>
      <c r="K280" s="55"/>
    </row>
    <row r="281" customFormat="false" ht="18" hidden="false" customHeight="true" outlineLevel="0" collapsed="false">
      <c r="A281" s="54"/>
      <c r="B281" s="54"/>
      <c r="C281" s="80"/>
      <c r="D281" s="69" t="str">
        <f aca="false">IF(C281="","",MONTH(C281))</f>
        <v/>
      </c>
      <c r="E281" s="54"/>
      <c r="F281" s="54" t="n">
        <f aca="false">IFERROR(INDEX(Cuentas!$C$8:$C$500,MATCH(A281&amp;"|"&amp;E281,Cuentas!$A$8:$A$500&amp;"|"&amp;Cuentas!$B$8:$B$500,0)),"")</f>
        <v>0</v>
      </c>
      <c r="G281" s="54"/>
      <c r="H281" s="82"/>
      <c r="I281" s="82"/>
      <c r="J281" s="54"/>
      <c r="K281" s="54"/>
    </row>
    <row r="282" customFormat="false" ht="18" hidden="false" customHeight="true" outlineLevel="0" collapsed="false">
      <c r="A282" s="55"/>
      <c r="B282" s="55"/>
      <c r="C282" s="77"/>
      <c r="D282" s="67" t="str">
        <f aca="false">IF(C282="","",MONTH(C282))</f>
        <v/>
      </c>
      <c r="E282" s="55"/>
      <c r="F282" s="55" t="n">
        <f aca="false">IFERROR(INDEX(Cuentas!$C$8:$C$500,MATCH(A282&amp;"|"&amp;E282,Cuentas!$A$8:$A$500&amp;"|"&amp;Cuentas!$B$8:$B$500,0)),"")</f>
        <v>0</v>
      </c>
      <c r="G282" s="55"/>
      <c r="H282" s="83"/>
      <c r="I282" s="83"/>
      <c r="J282" s="55"/>
      <c r="K282" s="55"/>
    </row>
    <row r="283" customFormat="false" ht="18" hidden="false" customHeight="true" outlineLevel="0" collapsed="false">
      <c r="A283" s="54"/>
      <c r="B283" s="54"/>
      <c r="C283" s="80"/>
      <c r="D283" s="69" t="str">
        <f aca="false">IF(C283="","",MONTH(C283))</f>
        <v/>
      </c>
      <c r="E283" s="54"/>
      <c r="F283" s="54" t="n">
        <f aca="false">IFERROR(INDEX(Cuentas!$C$8:$C$500,MATCH(A283&amp;"|"&amp;E283,Cuentas!$A$8:$A$500&amp;"|"&amp;Cuentas!$B$8:$B$500,0)),"")</f>
        <v>0</v>
      </c>
      <c r="G283" s="54"/>
      <c r="H283" s="82"/>
      <c r="I283" s="82"/>
      <c r="J283" s="54"/>
      <c r="K283" s="54"/>
    </row>
    <row r="284" customFormat="false" ht="18" hidden="false" customHeight="true" outlineLevel="0" collapsed="false">
      <c r="A284" s="55"/>
      <c r="B284" s="55"/>
      <c r="C284" s="77"/>
      <c r="D284" s="67" t="str">
        <f aca="false">IF(C284="","",MONTH(C284))</f>
        <v/>
      </c>
      <c r="E284" s="55"/>
      <c r="F284" s="55" t="n">
        <f aca="false">IFERROR(INDEX(Cuentas!$C$8:$C$500,MATCH(A284&amp;"|"&amp;E284,Cuentas!$A$8:$A$500&amp;"|"&amp;Cuentas!$B$8:$B$500,0)),"")</f>
        <v>0</v>
      </c>
      <c r="G284" s="55"/>
      <c r="H284" s="83"/>
      <c r="I284" s="83"/>
      <c r="J284" s="55"/>
      <c r="K284" s="55"/>
    </row>
    <row r="285" customFormat="false" ht="18" hidden="false" customHeight="true" outlineLevel="0" collapsed="false">
      <c r="A285" s="54"/>
      <c r="B285" s="54"/>
      <c r="C285" s="80"/>
      <c r="D285" s="69" t="str">
        <f aca="false">IF(C285="","",MONTH(C285))</f>
        <v/>
      </c>
      <c r="E285" s="54"/>
      <c r="F285" s="54" t="n">
        <f aca="false">IFERROR(INDEX(Cuentas!$C$8:$C$500,MATCH(A285&amp;"|"&amp;E285,Cuentas!$A$8:$A$500&amp;"|"&amp;Cuentas!$B$8:$B$500,0)),"")</f>
        <v>0</v>
      </c>
      <c r="G285" s="54"/>
      <c r="H285" s="82"/>
      <c r="I285" s="82"/>
      <c r="J285" s="54"/>
      <c r="K285" s="54"/>
    </row>
    <row r="286" customFormat="false" ht="18" hidden="false" customHeight="true" outlineLevel="0" collapsed="false">
      <c r="A286" s="55"/>
      <c r="B286" s="55"/>
      <c r="C286" s="77"/>
      <c r="D286" s="67" t="str">
        <f aca="false">IF(C286="","",MONTH(C286))</f>
        <v/>
      </c>
      <c r="E286" s="55"/>
      <c r="F286" s="55" t="n">
        <f aca="false">IFERROR(INDEX(Cuentas!$C$8:$C$500,MATCH(A286&amp;"|"&amp;E286,Cuentas!$A$8:$A$500&amp;"|"&amp;Cuentas!$B$8:$B$500,0)),"")</f>
        <v>0</v>
      </c>
      <c r="G286" s="55"/>
      <c r="H286" s="83"/>
      <c r="I286" s="83"/>
      <c r="J286" s="55"/>
      <c r="K286" s="55"/>
    </row>
    <row r="287" customFormat="false" ht="18" hidden="false" customHeight="true" outlineLevel="0" collapsed="false">
      <c r="A287" s="54"/>
      <c r="B287" s="54"/>
      <c r="C287" s="80"/>
      <c r="D287" s="69" t="str">
        <f aca="false">IF(C287="","",MONTH(C287))</f>
        <v/>
      </c>
      <c r="E287" s="54"/>
      <c r="F287" s="54" t="n">
        <f aca="false">IFERROR(INDEX(Cuentas!$C$8:$C$500,MATCH(A287&amp;"|"&amp;E287,Cuentas!$A$8:$A$500&amp;"|"&amp;Cuentas!$B$8:$B$500,0)),"")</f>
        <v>0</v>
      </c>
      <c r="G287" s="54"/>
      <c r="H287" s="82"/>
      <c r="I287" s="82"/>
      <c r="J287" s="54"/>
      <c r="K287" s="54"/>
    </row>
    <row r="288" customFormat="false" ht="18" hidden="false" customHeight="true" outlineLevel="0" collapsed="false">
      <c r="A288" s="55"/>
      <c r="B288" s="55"/>
      <c r="C288" s="77"/>
      <c r="D288" s="67" t="str">
        <f aca="false">IF(C288="","",MONTH(C288))</f>
        <v/>
      </c>
      <c r="E288" s="55"/>
      <c r="F288" s="55" t="n">
        <f aca="false">IFERROR(INDEX(Cuentas!$C$8:$C$500,MATCH(A288&amp;"|"&amp;E288,Cuentas!$A$8:$A$500&amp;"|"&amp;Cuentas!$B$8:$B$500,0)),"")</f>
        <v>0</v>
      </c>
      <c r="G288" s="55"/>
      <c r="H288" s="83"/>
      <c r="I288" s="83"/>
      <c r="J288" s="55"/>
      <c r="K288" s="55"/>
    </row>
    <row r="289" customFormat="false" ht="18" hidden="false" customHeight="true" outlineLevel="0" collapsed="false">
      <c r="A289" s="54"/>
      <c r="B289" s="54"/>
      <c r="C289" s="80"/>
      <c r="D289" s="69" t="str">
        <f aca="false">IF(C289="","",MONTH(C289))</f>
        <v/>
      </c>
      <c r="E289" s="54"/>
      <c r="F289" s="54" t="n">
        <f aca="false">IFERROR(INDEX(Cuentas!$C$8:$C$500,MATCH(A289&amp;"|"&amp;E289,Cuentas!$A$8:$A$500&amp;"|"&amp;Cuentas!$B$8:$B$500,0)),"")</f>
        <v>0</v>
      </c>
      <c r="G289" s="54"/>
      <c r="H289" s="82"/>
      <c r="I289" s="82"/>
      <c r="J289" s="54"/>
      <c r="K289" s="54"/>
    </row>
    <row r="290" customFormat="false" ht="18" hidden="false" customHeight="true" outlineLevel="0" collapsed="false">
      <c r="A290" s="55"/>
      <c r="B290" s="55"/>
      <c r="C290" s="77"/>
      <c r="D290" s="67" t="str">
        <f aca="false">IF(C290="","",MONTH(C290))</f>
        <v/>
      </c>
      <c r="E290" s="55"/>
      <c r="F290" s="55" t="n">
        <f aca="false">IFERROR(INDEX(Cuentas!$C$8:$C$500,MATCH(A290&amp;"|"&amp;E290,Cuentas!$A$8:$A$500&amp;"|"&amp;Cuentas!$B$8:$B$500,0)),"")</f>
        <v>0</v>
      </c>
      <c r="G290" s="55"/>
      <c r="H290" s="83"/>
      <c r="I290" s="83"/>
      <c r="J290" s="55"/>
      <c r="K290" s="55"/>
    </row>
    <row r="291" customFormat="false" ht="18" hidden="false" customHeight="true" outlineLevel="0" collapsed="false">
      <c r="A291" s="54"/>
      <c r="B291" s="54"/>
      <c r="C291" s="80"/>
      <c r="D291" s="69" t="str">
        <f aca="false">IF(C291="","",MONTH(C291))</f>
        <v/>
      </c>
      <c r="E291" s="54"/>
      <c r="F291" s="54" t="n">
        <f aca="false">IFERROR(INDEX(Cuentas!$C$8:$C$500,MATCH(A291&amp;"|"&amp;E291,Cuentas!$A$8:$A$500&amp;"|"&amp;Cuentas!$B$8:$B$500,0)),"")</f>
        <v>0</v>
      </c>
      <c r="G291" s="54"/>
      <c r="H291" s="82"/>
      <c r="I291" s="82"/>
      <c r="J291" s="54"/>
      <c r="K291" s="54"/>
    </row>
    <row r="292" customFormat="false" ht="18" hidden="false" customHeight="true" outlineLevel="0" collapsed="false">
      <c r="A292" s="55"/>
      <c r="B292" s="55"/>
      <c r="C292" s="77"/>
      <c r="D292" s="67" t="str">
        <f aca="false">IF(C292="","",MONTH(C292))</f>
        <v/>
      </c>
      <c r="E292" s="55"/>
      <c r="F292" s="55" t="n">
        <f aca="false">IFERROR(INDEX(Cuentas!$C$8:$C$500,MATCH(A292&amp;"|"&amp;E292,Cuentas!$A$8:$A$500&amp;"|"&amp;Cuentas!$B$8:$B$500,0)),"")</f>
        <v>0</v>
      </c>
      <c r="G292" s="55"/>
      <c r="H292" s="83"/>
      <c r="I292" s="83"/>
      <c r="J292" s="55"/>
      <c r="K292" s="55"/>
    </row>
    <row r="293" customFormat="false" ht="18" hidden="false" customHeight="true" outlineLevel="0" collapsed="false">
      <c r="A293" s="54"/>
      <c r="B293" s="54"/>
      <c r="C293" s="80"/>
      <c r="D293" s="69" t="str">
        <f aca="false">IF(C293="","",MONTH(C293))</f>
        <v/>
      </c>
      <c r="E293" s="54"/>
      <c r="F293" s="54" t="n">
        <f aca="false">IFERROR(INDEX(Cuentas!$C$8:$C$500,MATCH(A293&amp;"|"&amp;E293,Cuentas!$A$8:$A$500&amp;"|"&amp;Cuentas!$B$8:$B$500,0)),"")</f>
        <v>0</v>
      </c>
      <c r="G293" s="54"/>
      <c r="H293" s="82"/>
      <c r="I293" s="82"/>
      <c r="J293" s="54"/>
      <c r="K293" s="54"/>
    </row>
    <row r="294" customFormat="false" ht="18" hidden="false" customHeight="true" outlineLevel="0" collapsed="false">
      <c r="A294" s="55"/>
      <c r="B294" s="55"/>
      <c r="C294" s="77"/>
      <c r="D294" s="67" t="str">
        <f aca="false">IF(C294="","",MONTH(C294))</f>
        <v/>
      </c>
      <c r="E294" s="55"/>
      <c r="F294" s="55" t="n">
        <f aca="false">IFERROR(INDEX(Cuentas!$C$8:$C$500,MATCH(A294&amp;"|"&amp;E294,Cuentas!$A$8:$A$500&amp;"|"&amp;Cuentas!$B$8:$B$500,0)),"")</f>
        <v>0</v>
      </c>
      <c r="G294" s="55"/>
      <c r="H294" s="83"/>
      <c r="I294" s="83"/>
      <c r="J294" s="55"/>
      <c r="K294" s="55"/>
    </row>
    <row r="295" customFormat="false" ht="18" hidden="false" customHeight="true" outlineLevel="0" collapsed="false">
      <c r="A295" s="54"/>
      <c r="B295" s="54"/>
      <c r="C295" s="80"/>
      <c r="D295" s="69" t="str">
        <f aca="false">IF(C295="","",MONTH(C295))</f>
        <v/>
      </c>
      <c r="E295" s="54"/>
      <c r="F295" s="54" t="n">
        <f aca="false">IFERROR(INDEX(Cuentas!$C$8:$C$500,MATCH(A295&amp;"|"&amp;E295,Cuentas!$A$8:$A$500&amp;"|"&amp;Cuentas!$B$8:$B$500,0)),"")</f>
        <v>0</v>
      </c>
      <c r="G295" s="54"/>
      <c r="H295" s="82"/>
      <c r="I295" s="82"/>
      <c r="J295" s="54"/>
      <c r="K295" s="54"/>
    </row>
    <row r="296" customFormat="false" ht="18" hidden="false" customHeight="true" outlineLevel="0" collapsed="false">
      <c r="A296" s="55"/>
      <c r="B296" s="55"/>
      <c r="C296" s="77"/>
      <c r="D296" s="67" t="str">
        <f aca="false">IF(C296="","",MONTH(C296))</f>
        <v/>
      </c>
      <c r="E296" s="55"/>
      <c r="F296" s="55" t="n">
        <f aca="false">IFERROR(INDEX(Cuentas!$C$8:$C$500,MATCH(A296&amp;"|"&amp;E296,Cuentas!$A$8:$A$500&amp;"|"&amp;Cuentas!$B$8:$B$500,0)),"")</f>
        <v>0</v>
      </c>
      <c r="G296" s="55"/>
      <c r="H296" s="83"/>
      <c r="I296" s="83"/>
      <c r="J296" s="55"/>
      <c r="K296" s="55"/>
    </row>
    <row r="297" customFormat="false" ht="18" hidden="false" customHeight="true" outlineLevel="0" collapsed="false">
      <c r="A297" s="54"/>
      <c r="B297" s="54"/>
      <c r="C297" s="80"/>
      <c r="D297" s="69" t="str">
        <f aca="false">IF(C297="","",MONTH(C297))</f>
        <v/>
      </c>
      <c r="E297" s="54"/>
      <c r="F297" s="54" t="n">
        <f aca="false">IFERROR(INDEX(Cuentas!$C$8:$C$500,MATCH(A297&amp;"|"&amp;E297,Cuentas!$A$8:$A$500&amp;"|"&amp;Cuentas!$B$8:$B$500,0)),"")</f>
        <v>0</v>
      </c>
      <c r="G297" s="54"/>
      <c r="H297" s="82"/>
      <c r="I297" s="82"/>
      <c r="J297" s="54"/>
      <c r="K297" s="54"/>
    </row>
    <row r="298" customFormat="false" ht="18" hidden="false" customHeight="true" outlineLevel="0" collapsed="false">
      <c r="A298" s="55"/>
      <c r="B298" s="55"/>
      <c r="C298" s="77"/>
      <c r="D298" s="67" t="str">
        <f aca="false">IF(C298="","",MONTH(C298))</f>
        <v/>
      </c>
      <c r="E298" s="55"/>
      <c r="F298" s="55" t="n">
        <f aca="false">IFERROR(INDEX(Cuentas!$C$8:$C$500,MATCH(A298&amp;"|"&amp;E298,Cuentas!$A$8:$A$500&amp;"|"&amp;Cuentas!$B$8:$B$500,0)),"")</f>
        <v>0</v>
      </c>
      <c r="G298" s="55"/>
      <c r="H298" s="83"/>
      <c r="I298" s="83"/>
      <c r="J298" s="55"/>
      <c r="K298" s="55"/>
    </row>
    <row r="299" customFormat="false" ht="18" hidden="false" customHeight="true" outlineLevel="0" collapsed="false">
      <c r="A299" s="54"/>
      <c r="B299" s="54"/>
      <c r="C299" s="80"/>
      <c r="D299" s="69" t="str">
        <f aca="false">IF(C299="","",MONTH(C299))</f>
        <v/>
      </c>
      <c r="E299" s="54"/>
      <c r="F299" s="54" t="n">
        <f aca="false">IFERROR(INDEX(Cuentas!$C$8:$C$500,MATCH(A299&amp;"|"&amp;E299,Cuentas!$A$8:$A$500&amp;"|"&amp;Cuentas!$B$8:$B$500,0)),"")</f>
        <v>0</v>
      </c>
      <c r="G299" s="54"/>
      <c r="H299" s="82"/>
      <c r="I299" s="82"/>
      <c r="J299" s="54"/>
      <c r="K299" s="54"/>
    </row>
    <row r="300" customFormat="false" ht="18" hidden="false" customHeight="true" outlineLevel="0" collapsed="false">
      <c r="A300" s="55"/>
      <c r="B300" s="55"/>
      <c r="C300" s="77"/>
      <c r="D300" s="67" t="str">
        <f aca="false">IF(C300="","",MONTH(C300))</f>
        <v/>
      </c>
      <c r="E300" s="55"/>
      <c r="F300" s="55" t="n">
        <f aca="false">IFERROR(INDEX(Cuentas!$C$8:$C$500,MATCH(A300&amp;"|"&amp;E300,Cuentas!$A$8:$A$500&amp;"|"&amp;Cuentas!$B$8:$B$500,0)),"")</f>
        <v>0</v>
      </c>
      <c r="G300" s="55"/>
      <c r="H300" s="83"/>
      <c r="I300" s="83"/>
      <c r="J300" s="55"/>
      <c r="K300" s="55"/>
    </row>
    <row r="301" customFormat="false" ht="18" hidden="false" customHeight="true" outlineLevel="0" collapsed="false">
      <c r="A301" s="54"/>
      <c r="B301" s="54"/>
      <c r="C301" s="80"/>
      <c r="D301" s="69" t="str">
        <f aca="false">IF(C301="","",MONTH(C301))</f>
        <v/>
      </c>
      <c r="E301" s="54"/>
      <c r="F301" s="54" t="n">
        <f aca="false">IFERROR(INDEX(Cuentas!$C$8:$C$500,MATCH(A301&amp;"|"&amp;E301,Cuentas!$A$8:$A$500&amp;"|"&amp;Cuentas!$B$8:$B$500,0)),"")</f>
        <v>0</v>
      </c>
      <c r="G301" s="54"/>
      <c r="H301" s="82"/>
      <c r="I301" s="82"/>
      <c r="J301" s="54"/>
      <c r="K301" s="54"/>
    </row>
    <row r="302" customFormat="false" ht="18" hidden="false" customHeight="true" outlineLevel="0" collapsed="false">
      <c r="A302" s="55"/>
      <c r="B302" s="55"/>
      <c r="C302" s="77"/>
      <c r="D302" s="67" t="str">
        <f aca="false">IF(C302="","",MONTH(C302))</f>
        <v/>
      </c>
      <c r="E302" s="55"/>
      <c r="F302" s="55" t="n">
        <f aca="false">IFERROR(INDEX(Cuentas!$C$8:$C$500,MATCH(A302&amp;"|"&amp;E302,Cuentas!$A$8:$A$500&amp;"|"&amp;Cuentas!$B$8:$B$500,0)),"")</f>
        <v>0</v>
      </c>
      <c r="G302" s="55"/>
      <c r="H302" s="83"/>
      <c r="I302" s="83"/>
      <c r="J302" s="55"/>
      <c r="K302" s="55"/>
    </row>
    <row r="303" customFormat="false" ht="18" hidden="false" customHeight="true" outlineLevel="0" collapsed="false">
      <c r="A303" s="54"/>
      <c r="B303" s="54"/>
      <c r="C303" s="80"/>
      <c r="D303" s="69" t="str">
        <f aca="false">IF(C303="","",MONTH(C303))</f>
        <v/>
      </c>
      <c r="E303" s="54"/>
      <c r="F303" s="54" t="n">
        <f aca="false">IFERROR(INDEX(Cuentas!$C$8:$C$500,MATCH(A303&amp;"|"&amp;E303,Cuentas!$A$8:$A$500&amp;"|"&amp;Cuentas!$B$8:$B$500,0)),"")</f>
        <v>0</v>
      </c>
      <c r="G303" s="54"/>
      <c r="H303" s="82"/>
      <c r="I303" s="82"/>
      <c r="J303" s="54"/>
      <c r="K303" s="54"/>
    </row>
    <row r="304" customFormat="false" ht="18" hidden="false" customHeight="true" outlineLevel="0" collapsed="false">
      <c r="A304" s="55"/>
      <c r="B304" s="55"/>
      <c r="C304" s="77"/>
      <c r="D304" s="67" t="str">
        <f aca="false">IF(C304="","",MONTH(C304))</f>
        <v/>
      </c>
      <c r="E304" s="55"/>
      <c r="F304" s="55" t="n">
        <f aca="false">IFERROR(INDEX(Cuentas!$C$8:$C$500,MATCH(A304&amp;"|"&amp;E304,Cuentas!$A$8:$A$500&amp;"|"&amp;Cuentas!$B$8:$B$500,0)),"")</f>
        <v>0</v>
      </c>
      <c r="G304" s="55"/>
      <c r="H304" s="83"/>
      <c r="I304" s="83"/>
      <c r="J304" s="55"/>
      <c r="K304" s="55"/>
    </row>
    <row r="305" customFormat="false" ht="18" hidden="false" customHeight="true" outlineLevel="0" collapsed="false">
      <c r="A305" s="54"/>
      <c r="B305" s="54"/>
      <c r="C305" s="80"/>
      <c r="D305" s="69" t="str">
        <f aca="false">IF(C305="","",MONTH(C305))</f>
        <v/>
      </c>
      <c r="E305" s="54"/>
      <c r="F305" s="54" t="n">
        <f aca="false">IFERROR(INDEX(Cuentas!$C$8:$C$500,MATCH(A305&amp;"|"&amp;E305,Cuentas!$A$8:$A$500&amp;"|"&amp;Cuentas!$B$8:$B$500,0)),"")</f>
        <v>0</v>
      </c>
      <c r="G305" s="54"/>
      <c r="H305" s="82"/>
      <c r="I305" s="82"/>
      <c r="J305" s="54"/>
      <c r="K305" s="54"/>
    </row>
    <row r="306" customFormat="false" ht="18" hidden="false" customHeight="true" outlineLevel="0" collapsed="false">
      <c r="A306" s="55"/>
      <c r="B306" s="55"/>
      <c r="C306" s="77"/>
      <c r="D306" s="67" t="str">
        <f aca="false">IF(C306="","",MONTH(C306))</f>
        <v/>
      </c>
      <c r="E306" s="55"/>
      <c r="F306" s="55" t="n">
        <f aca="false">IFERROR(INDEX(Cuentas!$C$8:$C$500,MATCH(A306&amp;"|"&amp;E306,Cuentas!$A$8:$A$500&amp;"|"&amp;Cuentas!$B$8:$B$500,0)),"")</f>
        <v>0</v>
      </c>
      <c r="G306" s="55"/>
      <c r="H306" s="83"/>
      <c r="I306" s="83"/>
      <c r="J306" s="55"/>
      <c r="K306" s="55"/>
    </row>
    <row r="307" customFormat="false" ht="18" hidden="false" customHeight="true" outlineLevel="0" collapsed="false">
      <c r="A307" s="54"/>
      <c r="B307" s="54"/>
      <c r="C307" s="80"/>
      <c r="D307" s="69" t="str">
        <f aca="false">IF(C307="","",MONTH(C307))</f>
        <v/>
      </c>
      <c r="E307" s="54"/>
      <c r="F307" s="54" t="n">
        <f aca="false">IFERROR(INDEX(Cuentas!$C$8:$C$500,MATCH(A307&amp;"|"&amp;E307,Cuentas!$A$8:$A$500&amp;"|"&amp;Cuentas!$B$8:$B$500,0)),"")</f>
        <v>0</v>
      </c>
      <c r="G307" s="54"/>
      <c r="H307" s="82"/>
      <c r="I307" s="82"/>
      <c r="J307" s="54"/>
      <c r="K307" s="54"/>
    </row>
    <row r="308" customFormat="false" ht="18" hidden="false" customHeight="true" outlineLevel="0" collapsed="false">
      <c r="A308" s="55"/>
      <c r="B308" s="55"/>
      <c r="C308" s="77"/>
      <c r="D308" s="67" t="str">
        <f aca="false">IF(C308="","",MONTH(C308))</f>
        <v/>
      </c>
      <c r="E308" s="55"/>
      <c r="F308" s="55" t="n">
        <f aca="false">IFERROR(INDEX(Cuentas!$C$8:$C$500,MATCH(A308&amp;"|"&amp;E308,Cuentas!$A$8:$A$500&amp;"|"&amp;Cuentas!$B$8:$B$500,0)),"")</f>
        <v>0</v>
      </c>
      <c r="G308" s="55"/>
      <c r="H308" s="83"/>
      <c r="I308" s="83"/>
      <c r="J308" s="55"/>
      <c r="K308" s="55"/>
    </row>
    <row r="309" customFormat="false" ht="18" hidden="false" customHeight="true" outlineLevel="0" collapsed="false">
      <c r="A309" s="54"/>
      <c r="B309" s="54"/>
      <c r="C309" s="80"/>
      <c r="D309" s="69" t="str">
        <f aca="false">IF(C309="","",MONTH(C309))</f>
        <v/>
      </c>
      <c r="E309" s="54"/>
      <c r="F309" s="54" t="n">
        <f aca="false">IFERROR(INDEX(Cuentas!$C$8:$C$500,MATCH(A309&amp;"|"&amp;E309,Cuentas!$A$8:$A$500&amp;"|"&amp;Cuentas!$B$8:$B$500,0)),"")</f>
        <v>0</v>
      </c>
      <c r="G309" s="54"/>
      <c r="H309" s="82"/>
      <c r="I309" s="82"/>
      <c r="J309" s="54"/>
      <c r="K309" s="54"/>
    </row>
    <row r="310" customFormat="false" ht="18" hidden="false" customHeight="true" outlineLevel="0" collapsed="false">
      <c r="A310" s="55"/>
      <c r="B310" s="55"/>
      <c r="C310" s="77"/>
      <c r="D310" s="67" t="str">
        <f aca="false">IF(C310="","",MONTH(C310))</f>
        <v/>
      </c>
      <c r="E310" s="55"/>
      <c r="F310" s="55" t="n">
        <f aca="false">IFERROR(INDEX(Cuentas!$C$8:$C$500,MATCH(A310&amp;"|"&amp;E310,Cuentas!$A$8:$A$500&amp;"|"&amp;Cuentas!$B$8:$B$500,0)),"")</f>
        <v>0</v>
      </c>
      <c r="G310" s="55"/>
      <c r="H310" s="83"/>
      <c r="I310" s="83"/>
      <c r="J310" s="55"/>
      <c r="K310" s="55"/>
    </row>
    <row r="311" customFormat="false" ht="18" hidden="false" customHeight="true" outlineLevel="0" collapsed="false">
      <c r="A311" s="54"/>
      <c r="B311" s="54"/>
      <c r="C311" s="80"/>
      <c r="D311" s="69" t="str">
        <f aca="false">IF(C311="","",MONTH(C311))</f>
        <v/>
      </c>
      <c r="E311" s="54"/>
      <c r="F311" s="54" t="n">
        <f aca="false">IFERROR(INDEX(Cuentas!$C$8:$C$500,MATCH(A311&amp;"|"&amp;E311,Cuentas!$A$8:$A$500&amp;"|"&amp;Cuentas!$B$8:$B$500,0)),"")</f>
        <v>0</v>
      </c>
      <c r="G311" s="54"/>
      <c r="H311" s="82"/>
      <c r="I311" s="82"/>
      <c r="J311" s="54"/>
      <c r="K311" s="54"/>
    </row>
    <row r="312" customFormat="false" ht="18" hidden="false" customHeight="true" outlineLevel="0" collapsed="false">
      <c r="A312" s="55"/>
      <c r="B312" s="55"/>
      <c r="C312" s="77"/>
      <c r="D312" s="67" t="str">
        <f aca="false">IF(C312="","",MONTH(C312))</f>
        <v/>
      </c>
      <c r="E312" s="55"/>
      <c r="F312" s="55" t="n">
        <f aca="false">IFERROR(INDEX(Cuentas!$C$8:$C$500,MATCH(A312&amp;"|"&amp;E312,Cuentas!$A$8:$A$500&amp;"|"&amp;Cuentas!$B$8:$B$500,0)),"")</f>
        <v>0</v>
      </c>
      <c r="G312" s="55"/>
      <c r="H312" s="83"/>
      <c r="I312" s="83"/>
      <c r="J312" s="55"/>
      <c r="K312" s="55"/>
    </row>
    <row r="313" customFormat="false" ht="18" hidden="false" customHeight="true" outlineLevel="0" collapsed="false">
      <c r="A313" s="54"/>
      <c r="B313" s="54"/>
      <c r="C313" s="80"/>
      <c r="D313" s="69" t="str">
        <f aca="false">IF(C313="","",MONTH(C313))</f>
        <v/>
      </c>
      <c r="E313" s="54"/>
      <c r="F313" s="54" t="n">
        <f aca="false">IFERROR(INDEX(Cuentas!$C$8:$C$500,MATCH(A313&amp;"|"&amp;E313,Cuentas!$A$8:$A$500&amp;"|"&amp;Cuentas!$B$8:$B$500,0)),"")</f>
        <v>0</v>
      </c>
      <c r="G313" s="54"/>
      <c r="H313" s="82"/>
      <c r="I313" s="82"/>
      <c r="J313" s="54"/>
      <c r="K313" s="54"/>
    </row>
    <row r="314" customFormat="false" ht="18" hidden="false" customHeight="true" outlineLevel="0" collapsed="false">
      <c r="A314" s="55"/>
      <c r="B314" s="55"/>
      <c r="C314" s="77"/>
      <c r="D314" s="67" t="str">
        <f aca="false">IF(C314="","",MONTH(C314))</f>
        <v/>
      </c>
      <c r="E314" s="55"/>
      <c r="F314" s="55" t="n">
        <f aca="false">IFERROR(INDEX(Cuentas!$C$8:$C$500,MATCH(A314&amp;"|"&amp;E314,Cuentas!$A$8:$A$500&amp;"|"&amp;Cuentas!$B$8:$B$500,0)),"")</f>
        <v>0</v>
      </c>
      <c r="G314" s="55"/>
      <c r="H314" s="83"/>
      <c r="I314" s="83"/>
      <c r="J314" s="55"/>
      <c r="K314" s="55"/>
    </row>
    <row r="315" customFormat="false" ht="18" hidden="false" customHeight="true" outlineLevel="0" collapsed="false">
      <c r="A315" s="54"/>
      <c r="B315" s="54"/>
      <c r="C315" s="80"/>
      <c r="D315" s="69" t="str">
        <f aca="false">IF(C315="","",MONTH(C315))</f>
        <v/>
      </c>
      <c r="E315" s="54"/>
      <c r="F315" s="54" t="n">
        <f aca="false">IFERROR(INDEX(Cuentas!$C$8:$C$500,MATCH(A315&amp;"|"&amp;E315,Cuentas!$A$8:$A$500&amp;"|"&amp;Cuentas!$B$8:$B$500,0)),"")</f>
        <v>0</v>
      </c>
      <c r="G315" s="54"/>
      <c r="H315" s="82"/>
      <c r="I315" s="82"/>
      <c r="J315" s="54"/>
      <c r="K315" s="54"/>
    </row>
    <row r="316" customFormat="false" ht="18" hidden="false" customHeight="true" outlineLevel="0" collapsed="false">
      <c r="A316" s="55"/>
      <c r="B316" s="55"/>
      <c r="C316" s="77"/>
      <c r="D316" s="67" t="str">
        <f aca="false">IF(C316="","",MONTH(C316))</f>
        <v/>
      </c>
      <c r="E316" s="55"/>
      <c r="F316" s="55" t="n">
        <f aca="false">IFERROR(INDEX(Cuentas!$C$8:$C$500,MATCH(A316&amp;"|"&amp;E316,Cuentas!$A$8:$A$500&amp;"|"&amp;Cuentas!$B$8:$B$500,0)),"")</f>
        <v>0</v>
      </c>
      <c r="G316" s="55"/>
      <c r="H316" s="83"/>
      <c r="I316" s="83"/>
      <c r="J316" s="55"/>
      <c r="K316" s="55"/>
    </row>
    <row r="317" customFormat="false" ht="18" hidden="false" customHeight="true" outlineLevel="0" collapsed="false">
      <c r="A317" s="54"/>
      <c r="B317" s="54"/>
      <c r="C317" s="80"/>
      <c r="D317" s="69" t="str">
        <f aca="false">IF(C317="","",MONTH(C317))</f>
        <v/>
      </c>
      <c r="E317" s="54"/>
      <c r="F317" s="54" t="n">
        <f aca="false">IFERROR(INDEX(Cuentas!$C$8:$C$500,MATCH(A317&amp;"|"&amp;E317,Cuentas!$A$8:$A$500&amp;"|"&amp;Cuentas!$B$8:$B$500,0)),"")</f>
        <v>0</v>
      </c>
      <c r="G317" s="54"/>
      <c r="H317" s="82"/>
      <c r="I317" s="82"/>
      <c r="J317" s="54"/>
      <c r="K317" s="54"/>
    </row>
    <row r="318" customFormat="false" ht="18" hidden="false" customHeight="true" outlineLevel="0" collapsed="false">
      <c r="A318" s="55"/>
      <c r="B318" s="55"/>
      <c r="C318" s="77"/>
      <c r="D318" s="67" t="str">
        <f aca="false">IF(C318="","",MONTH(C318))</f>
        <v/>
      </c>
      <c r="E318" s="55"/>
      <c r="F318" s="55" t="n">
        <f aca="false">IFERROR(INDEX(Cuentas!$C$8:$C$500,MATCH(A318&amp;"|"&amp;E318,Cuentas!$A$8:$A$500&amp;"|"&amp;Cuentas!$B$8:$B$500,0)),"")</f>
        <v>0</v>
      </c>
      <c r="G318" s="55"/>
      <c r="H318" s="83"/>
      <c r="I318" s="83"/>
      <c r="J318" s="55"/>
      <c r="K318" s="55"/>
    </row>
    <row r="319" customFormat="false" ht="18" hidden="false" customHeight="true" outlineLevel="0" collapsed="false">
      <c r="A319" s="54"/>
      <c r="B319" s="54"/>
      <c r="C319" s="80"/>
      <c r="D319" s="69" t="str">
        <f aca="false">IF(C319="","",MONTH(C319))</f>
        <v/>
      </c>
      <c r="E319" s="54"/>
      <c r="F319" s="54" t="n">
        <f aca="false">IFERROR(INDEX(Cuentas!$C$8:$C$500,MATCH(A319&amp;"|"&amp;E319,Cuentas!$A$8:$A$500&amp;"|"&amp;Cuentas!$B$8:$B$500,0)),"")</f>
        <v>0</v>
      </c>
      <c r="G319" s="54"/>
      <c r="H319" s="82"/>
      <c r="I319" s="82"/>
      <c r="J319" s="54"/>
      <c r="K319" s="54"/>
    </row>
    <row r="320" customFormat="false" ht="18" hidden="false" customHeight="true" outlineLevel="0" collapsed="false">
      <c r="A320" s="55"/>
      <c r="B320" s="55"/>
      <c r="C320" s="77"/>
      <c r="D320" s="67" t="str">
        <f aca="false">IF(C320="","",MONTH(C320))</f>
        <v/>
      </c>
      <c r="E320" s="55"/>
      <c r="F320" s="55" t="n">
        <f aca="false">IFERROR(INDEX(Cuentas!$C$8:$C$500,MATCH(A320&amp;"|"&amp;E320,Cuentas!$A$8:$A$500&amp;"|"&amp;Cuentas!$B$8:$B$500,0)),"")</f>
        <v>0</v>
      </c>
      <c r="G320" s="55"/>
      <c r="H320" s="83"/>
      <c r="I320" s="83"/>
      <c r="J320" s="55"/>
      <c r="K320" s="55"/>
    </row>
    <row r="321" customFormat="false" ht="18" hidden="false" customHeight="true" outlineLevel="0" collapsed="false">
      <c r="A321" s="54"/>
      <c r="B321" s="54"/>
      <c r="C321" s="80"/>
      <c r="D321" s="69" t="str">
        <f aca="false">IF(C321="","",MONTH(C321))</f>
        <v/>
      </c>
      <c r="E321" s="54"/>
      <c r="F321" s="54" t="n">
        <f aca="false">IFERROR(INDEX(Cuentas!$C$8:$C$500,MATCH(A321&amp;"|"&amp;E321,Cuentas!$A$8:$A$500&amp;"|"&amp;Cuentas!$B$8:$B$500,0)),"")</f>
        <v>0</v>
      </c>
      <c r="G321" s="54"/>
      <c r="H321" s="82"/>
      <c r="I321" s="82"/>
      <c r="J321" s="54"/>
      <c r="K321" s="54"/>
    </row>
    <row r="322" customFormat="false" ht="18" hidden="false" customHeight="true" outlineLevel="0" collapsed="false">
      <c r="A322" s="55"/>
      <c r="B322" s="55"/>
      <c r="C322" s="77"/>
      <c r="D322" s="67" t="str">
        <f aca="false">IF(C322="","",MONTH(C322))</f>
        <v/>
      </c>
      <c r="E322" s="55"/>
      <c r="F322" s="55" t="n">
        <f aca="false">IFERROR(INDEX(Cuentas!$C$8:$C$500,MATCH(A322&amp;"|"&amp;E322,Cuentas!$A$8:$A$500&amp;"|"&amp;Cuentas!$B$8:$B$500,0)),"")</f>
        <v>0</v>
      </c>
      <c r="G322" s="55"/>
      <c r="H322" s="83"/>
      <c r="I322" s="83"/>
      <c r="J322" s="55"/>
      <c r="K322" s="55"/>
    </row>
    <row r="323" customFormat="false" ht="18" hidden="false" customHeight="true" outlineLevel="0" collapsed="false">
      <c r="A323" s="54"/>
      <c r="B323" s="54"/>
      <c r="C323" s="80"/>
      <c r="D323" s="69" t="str">
        <f aca="false">IF(C323="","",MONTH(C323))</f>
        <v/>
      </c>
      <c r="E323" s="54"/>
      <c r="F323" s="54" t="n">
        <f aca="false">IFERROR(INDEX(Cuentas!$C$8:$C$500,MATCH(A323&amp;"|"&amp;E323,Cuentas!$A$8:$A$500&amp;"|"&amp;Cuentas!$B$8:$B$500,0)),"")</f>
        <v>0</v>
      </c>
      <c r="G323" s="54"/>
      <c r="H323" s="82"/>
      <c r="I323" s="82"/>
      <c r="J323" s="54"/>
      <c r="K323" s="54"/>
    </row>
    <row r="324" customFormat="false" ht="18" hidden="false" customHeight="true" outlineLevel="0" collapsed="false">
      <c r="A324" s="55"/>
      <c r="B324" s="55"/>
      <c r="C324" s="77"/>
      <c r="D324" s="67" t="str">
        <f aca="false">IF(C324="","",MONTH(C324))</f>
        <v/>
      </c>
      <c r="E324" s="55"/>
      <c r="F324" s="55" t="n">
        <f aca="false">IFERROR(INDEX(Cuentas!$C$8:$C$500,MATCH(A324&amp;"|"&amp;E324,Cuentas!$A$8:$A$500&amp;"|"&amp;Cuentas!$B$8:$B$500,0)),"")</f>
        <v>0</v>
      </c>
      <c r="G324" s="55"/>
      <c r="H324" s="83"/>
      <c r="I324" s="83"/>
      <c r="J324" s="55"/>
      <c r="K324" s="55"/>
    </row>
    <row r="325" customFormat="false" ht="18" hidden="false" customHeight="true" outlineLevel="0" collapsed="false">
      <c r="A325" s="54"/>
      <c r="B325" s="54"/>
      <c r="C325" s="80"/>
      <c r="D325" s="69" t="str">
        <f aca="false">IF(C325="","",MONTH(C325))</f>
        <v/>
      </c>
      <c r="E325" s="54"/>
      <c r="F325" s="54" t="n">
        <f aca="false">IFERROR(INDEX(Cuentas!$C$8:$C$500,MATCH(A325&amp;"|"&amp;E325,Cuentas!$A$8:$A$500&amp;"|"&amp;Cuentas!$B$8:$B$500,0)),"")</f>
        <v>0</v>
      </c>
      <c r="G325" s="54"/>
      <c r="H325" s="82"/>
      <c r="I325" s="82"/>
      <c r="J325" s="54"/>
      <c r="K325" s="54"/>
    </row>
    <row r="326" customFormat="false" ht="18" hidden="false" customHeight="true" outlineLevel="0" collapsed="false">
      <c r="A326" s="55"/>
      <c r="B326" s="55"/>
      <c r="C326" s="77"/>
      <c r="D326" s="67" t="str">
        <f aca="false">IF(C326="","",MONTH(C326))</f>
        <v/>
      </c>
      <c r="E326" s="55"/>
      <c r="F326" s="55" t="n">
        <f aca="false">IFERROR(INDEX(Cuentas!$C$8:$C$500,MATCH(A326&amp;"|"&amp;E326,Cuentas!$A$8:$A$500&amp;"|"&amp;Cuentas!$B$8:$B$500,0)),"")</f>
        <v>0</v>
      </c>
      <c r="G326" s="55"/>
      <c r="H326" s="83"/>
      <c r="I326" s="83"/>
      <c r="J326" s="55"/>
      <c r="K326" s="55"/>
    </row>
    <row r="327" customFormat="false" ht="18" hidden="false" customHeight="true" outlineLevel="0" collapsed="false">
      <c r="A327" s="54"/>
      <c r="B327" s="54"/>
      <c r="C327" s="80"/>
      <c r="D327" s="69" t="str">
        <f aca="false">IF(C327="","",MONTH(C327))</f>
        <v/>
      </c>
      <c r="E327" s="54"/>
      <c r="F327" s="54" t="n">
        <f aca="false">IFERROR(INDEX(Cuentas!$C$8:$C$500,MATCH(A327&amp;"|"&amp;E327,Cuentas!$A$8:$A$500&amp;"|"&amp;Cuentas!$B$8:$B$500,0)),"")</f>
        <v>0</v>
      </c>
      <c r="G327" s="54"/>
      <c r="H327" s="82"/>
      <c r="I327" s="82"/>
      <c r="J327" s="54"/>
      <c r="K327" s="54"/>
    </row>
    <row r="328" customFormat="false" ht="18" hidden="false" customHeight="true" outlineLevel="0" collapsed="false">
      <c r="A328" s="55"/>
      <c r="B328" s="55"/>
      <c r="C328" s="77"/>
      <c r="D328" s="67" t="str">
        <f aca="false">IF(C328="","",MONTH(C328))</f>
        <v/>
      </c>
      <c r="E328" s="55"/>
      <c r="F328" s="55" t="n">
        <f aca="false">IFERROR(INDEX(Cuentas!$C$8:$C$500,MATCH(A328&amp;"|"&amp;E328,Cuentas!$A$8:$A$500&amp;"|"&amp;Cuentas!$B$8:$B$500,0)),"")</f>
        <v>0</v>
      </c>
      <c r="G328" s="55"/>
      <c r="H328" s="83"/>
      <c r="I328" s="83"/>
      <c r="J328" s="55"/>
      <c r="K328" s="55"/>
    </row>
    <row r="329" customFormat="false" ht="18" hidden="false" customHeight="true" outlineLevel="0" collapsed="false">
      <c r="A329" s="54"/>
      <c r="B329" s="54"/>
      <c r="C329" s="80"/>
      <c r="D329" s="69" t="str">
        <f aca="false">IF(C329="","",MONTH(C329))</f>
        <v/>
      </c>
      <c r="E329" s="54"/>
      <c r="F329" s="54" t="n">
        <f aca="false">IFERROR(INDEX(Cuentas!$C$8:$C$500,MATCH(A329&amp;"|"&amp;E329,Cuentas!$A$8:$A$500&amp;"|"&amp;Cuentas!$B$8:$B$500,0)),"")</f>
        <v>0</v>
      </c>
      <c r="G329" s="54"/>
      <c r="H329" s="82"/>
      <c r="I329" s="82"/>
      <c r="J329" s="54"/>
      <c r="K329" s="54"/>
    </row>
    <row r="330" customFormat="false" ht="18" hidden="false" customHeight="true" outlineLevel="0" collapsed="false">
      <c r="A330" s="55"/>
      <c r="B330" s="55"/>
      <c r="C330" s="77"/>
      <c r="D330" s="67" t="str">
        <f aca="false">IF(C330="","",MONTH(C330))</f>
        <v/>
      </c>
      <c r="E330" s="55"/>
      <c r="F330" s="55" t="n">
        <f aca="false">IFERROR(INDEX(Cuentas!$C$8:$C$500,MATCH(A330&amp;"|"&amp;E330,Cuentas!$A$8:$A$500&amp;"|"&amp;Cuentas!$B$8:$B$500,0)),"")</f>
        <v>0</v>
      </c>
      <c r="G330" s="55"/>
      <c r="H330" s="83"/>
      <c r="I330" s="83"/>
      <c r="J330" s="55"/>
      <c r="K330" s="55"/>
    </row>
    <row r="331" customFormat="false" ht="18" hidden="false" customHeight="true" outlineLevel="0" collapsed="false">
      <c r="A331" s="54"/>
      <c r="B331" s="54"/>
      <c r="C331" s="80"/>
      <c r="D331" s="69" t="str">
        <f aca="false">IF(C331="","",MONTH(C331))</f>
        <v/>
      </c>
      <c r="E331" s="54"/>
      <c r="F331" s="54" t="n">
        <f aca="false">IFERROR(INDEX(Cuentas!$C$8:$C$500,MATCH(A331&amp;"|"&amp;E331,Cuentas!$A$8:$A$500&amp;"|"&amp;Cuentas!$B$8:$B$500,0)),"")</f>
        <v>0</v>
      </c>
      <c r="G331" s="54"/>
      <c r="H331" s="82"/>
      <c r="I331" s="82"/>
      <c r="J331" s="54"/>
      <c r="K331" s="54"/>
    </row>
    <row r="332" customFormat="false" ht="18" hidden="false" customHeight="true" outlineLevel="0" collapsed="false">
      <c r="A332" s="55"/>
      <c r="B332" s="55"/>
      <c r="C332" s="77"/>
      <c r="D332" s="67" t="str">
        <f aca="false">IF(C332="","",MONTH(C332))</f>
        <v/>
      </c>
      <c r="E332" s="55"/>
      <c r="F332" s="55" t="n">
        <f aca="false">IFERROR(INDEX(Cuentas!$C$8:$C$500,MATCH(A332&amp;"|"&amp;E332,Cuentas!$A$8:$A$500&amp;"|"&amp;Cuentas!$B$8:$B$500,0)),"")</f>
        <v>0</v>
      </c>
      <c r="G332" s="55"/>
      <c r="H332" s="83"/>
      <c r="I332" s="83"/>
      <c r="J332" s="55"/>
      <c r="K332" s="55"/>
    </row>
    <row r="333" customFormat="false" ht="18" hidden="false" customHeight="true" outlineLevel="0" collapsed="false">
      <c r="A333" s="54"/>
      <c r="B333" s="54"/>
      <c r="C333" s="80"/>
      <c r="D333" s="69" t="str">
        <f aca="false">IF(C333="","",MONTH(C333))</f>
        <v/>
      </c>
      <c r="E333" s="54"/>
      <c r="F333" s="54" t="n">
        <f aca="false">IFERROR(INDEX(Cuentas!$C$8:$C$500,MATCH(A333&amp;"|"&amp;E333,Cuentas!$A$8:$A$500&amp;"|"&amp;Cuentas!$B$8:$B$500,0)),"")</f>
        <v>0</v>
      </c>
      <c r="G333" s="54"/>
      <c r="H333" s="82"/>
      <c r="I333" s="82"/>
      <c r="J333" s="54"/>
      <c r="K333" s="54"/>
    </row>
    <row r="334" customFormat="false" ht="18" hidden="false" customHeight="true" outlineLevel="0" collapsed="false">
      <c r="A334" s="55"/>
      <c r="B334" s="55"/>
      <c r="C334" s="77"/>
      <c r="D334" s="67" t="str">
        <f aca="false">IF(C334="","",MONTH(C334))</f>
        <v/>
      </c>
      <c r="E334" s="55"/>
      <c r="F334" s="55" t="n">
        <f aca="false">IFERROR(INDEX(Cuentas!$C$8:$C$500,MATCH(A334&amp;"|"&amp;E334,Cuentas!$A$8:$A$500&amp;"|"&amp;Cuentas!$B$8:$B$500,0)),"")</f>
        <v>0</v>
      </c>
      <c r="G334" s="55"/>
      <c r="H334" s="83"/>
      <c r="I334" s="83"/>
      <c r="J334" s="55"/>
      <c r="K334" s="55"/>
    </row>
    <row r="335" customFormat="false" ht="18" hidden="false" customHeight="true" outlineLevel="0" collapsed="false">
      <c r="A335" s="54"/>
      <c r="B335" s="54"/>
      <c r="C335" s="80"/>
      <c r="D335" s="69" t="str">
        <f aca="false">IF(C335="","",MONTH(C335))</f>
        <v/>
      </c>
      <c r="E335" s="54"/>
      <c r="F335" s="54" t="n">
        <f aca="false">IFERROR(INDEX(Cuentas!$C$8:$C$500,MATCH(A335&amp;"|"&amp;E335,Cuentas!$A$8:$A$500&amp;"|"&amp;Cuentas!$B$8:$B$500,0)),"")</f>
        <v>0</v>
      </c>
      <c r="G335" s="54"/>
      <c r="H335" s="82"/>
      <c r="I335" s="82"/>
      <c r="J335" s="54"/>
      <c r="K335" s="54"/>
    </row>
    <row r="336" customFormat="false" ht="18" hidden="false" customHeight="true" outlineLevel="0" collapsed="false">
      <c r="A336" s="55"/>
      <c r="B336" s="55"/>
      <c r="C336" s="77"/>
      <c r="D336" s="67" t="str">
        <f aca="false">IF(C336="","",MONTH(C336))</f>
        <v/>
      </c>
      <c r="E336" s="55"/>
      <c r="F336" s="55" t="n">
        <f aca="false">IFERROR(INDEX(Cuentas!$C$8:$C$500,MATCH(A336&amp;"|"&amp;E336,Cuentas!$A$8:$A$500&amp;"|"&amp;Cuentas!$B$8:$B$500,0)),"")</f>
        <v>0</v>
      </c>
      <c r="G336" s="55"/>
      <c r="H336" s="83"/>
      <c r="I336" s="83"/>
      <c r="J336" s="55"/>
      <c r="K336" s="55"/>
    </row>
    <row r="337" customFormat="false" ht="18" hidden="false" customHeight="true" outlineLevel="0" collapsed="false">
      <c r="A337" s="54"/>
      <c r="B337" s="54"/>
      <c r="C337" s="80"/>
      <c r="D337" s="69" t="str">
        <f aca="false">IF(C337="","",MONTH(C337))</f>
        <v/>
      </c>
      <c r="E337" s="54"/>
      <c r="F337" s="54" t="n">
        <f aca="false">IFERROR(INDEX(Cuentas!$C$8:$C$500,MATCH(A337&amp;"|"&amp;E337,Cuentas!$A$8:$A$500&amp;"|"&amp;Cuentas!$B$8:$B$500,0)),"")</f>
        <v>0</v>
      </c>
      <c r="G337" s="54"/>
      <c r="H337" s="82"/>
      <c r="I337" s="82"/>
      <c r="J337" s="54"/>
      <c r="K337" s="54"/>
    </row>
    <row r="338" customFormat="false" ht="18" hidden="false" customHeight="true" outlineLevel="0" collapsed="false">
      <c r="A338" s="55"/>
      <c r="B338" s="55"/>
      <c r="C338" s="77"/>
      <c r="D338" s="67" t="str">
        <f aca="false">IF(C338="","",MONTH(C338))</f>
        <v/>
      </c>
      <c r="E338" s="55"/>
      <c r="F338" s="55" t="n">
        <f aca="false">IFERROR(INDEX(Cuentas!$C$8:$C$500,MATCH(A338&amp;"|"&amp;E338,Cuentas!$A$8:$A$500&amp;"|"&amp;Cuentas!$B$8:$B$500,0)),"")</f>
        <v>0</v>
      </c>
      <c r="G338" s="55"/>
      <c r="H338" s="83"/>
      <c r="I338" s="83"/>
      <c r="J338" s="55"/>
      <c r="K338" s="55"/>
    </row>
    <row r="339" customFormat="false" ht="18" hidden="false" customHeight="true" outlineLevel="0" collapsed="false">
      <c r="A339" s="54"/>
      <c r="B339" s="54"/>
      <c r="C339" s="80"/>
      <c r="D339" s="69" t="str">
        <f aca="false">IF(C339="","",MONTH(C339))</f>
        <v/>
      </c>
      <c r="E339" s="54"/>
      <c r="F339" s="54" t="n">
        <f aca="false">IFERROR(INDEX(Cuentas!$C$8:$C$500,MATCH(A339&amp;"|"&amp;E339,Cuentas!$A$8:$A$500&amp;"|"&amp;Cuentas!$B$8:$B$500,0)),"")</f>
        <v>0</v>
      </c>
      <c r="G339" s="54"/>
      <c r="H339" s="82"/>
      <c r="I339" s="82"/>
      <c r="J339" s="54"/>
      <c r="K339" s="54"/>
    </row>
    <row r="340" customFormat="false" ht="18" hidden="false" customHeight="true" outlineLevel="0" collapsed="false">
      <c r="A340" s="55"/>
      <c r="B340" s="55"/>
      <c r="C340" s="77"/>
      <c r="D340" s="67" t="str">
        <f aca="false">IF(C340="","",MONTH(C340))</f>
        <v/>
      </c>
      <c r="E340" s="55"/>
      <c r="F340" s="55" t="n">
        <f aca="false">IFERROR(INDEX(Cuentas!$C$8:$C$500,MATCH(A340&amp;"|"&amp;E340,Cuentas!$A$8:$A$500&amp;"|"&amp;Cuentas!$B$8:$B$500,0)),"")</f>
        <v>0</v>
      </c>
      <c r="G340" s="55"/>
      <c r="H340" s="83"/>
      <c r="I340" s="83"/>
      <c r="J340" s="55"/>
      <c r="K340" s="55"/>
    </row>
    <row r="341" customFormat="false" ht="18" hidden="false" customHeight="true" outlineLevel="0" collapsed="false">
      <c r="A341" s="54"/>
      <c r="B341" s="54"/>
      <c r="C341" s="80"/>
      <c r="D341" s="69" t="str">
        <f aca="false">IF(C341="","",MONTH(C341))</f>
        <v/>
      </c>
      <c r="E341" s="54"/>
      <c r="F341" s="54" t="n">
        <f aca="false">IFERROR(INDEX(Cuentas!$C$8:$C$500,MATCH(A341&amp;"|"&amp;E341,Cuentas!$A$8:$A$500&amp;"|"&amp;Cuentas!$B$8:$B$500,0)),"")</f>
        <v>0</v>
      </c>
      <c r="G341" s="54"/>
      <c r="H341" s="82"/>
      <c r="I341" s="82"/>
      <c r="J341" s="54"/>
      <c r="K341" s="54"/>
    </row>
    <row r="342" customFormat="false" ht="18" hidden="false" customHeight="true" outlineLevel="0" collapsed="false">
      <c r="A342" s="55"/>
      <c r="B342" s="55"/>
      <c r="C342" s="77"/>
      <c r="D342" s="67" t="str">
        <f aca="false">IF(C342="","",MONTH(C342))</f>
        <v/>
      </c>
      <c r="E342" s="55"/>
      <c r="F342" s="55" t="n">
        <f aca="false">IFERROR(INDEX(Cuentas!$C$8:$C$500,MATCH(A342&amp;"|"&amp;E342,Cuentas!$A$8:$A$500&amp;"|"&amp;Cuentas!$B$8:$B$500,0)),"")</f>
        <v>0</v>
      </c>
      <c r="G342" s="55"/>
      <c r="H342" s="83"/>
      <c r="I342" s="83"/>
      <c r="J342" s="55"/>
      <c r="K342" s="55"/>
    </row>
    <row r="343" customFormat="false" ht="18" hidden="false" customHeight="true" outlineLevel="0" collapsed="false">
      <c r="A343" s="54"/>
      <c r="B343" s="54"/>
      <c r="C343" s="80"/>
      <c r="D343" s="69" t="str">
        <f aca="false">IF(C343="","",MONTH(C343))</f>
        <v/>
      </c>
      <c r="E343" s="54"/>
      <c r="F343" s="54" t="n">
        <f aca="false">IFERROR(INDEX(Cuentas!$C$8:$C$500,MATCH(A343&amp;"|"&amp;E343,Cuentas!$A$8:$A$500&amp;"|"&amp;Cuentas!$B$8:$B$500,0)),"")</f>
        <v>0</v>
      </c>
      <c r="G343" s="54"/>
      <c r="H343" s="82"/>
      <c r="I343" s="82"/>
      <c r="J343" s="54"/>
      <c r="K343" s="54"/>
    </row>
    <row r="344" customFormat="false" ht="18" hidden="false" customHeight="true" outlineLevel="0" collapsed="false">
      <c r="A344" s="55"/>
      <c r="B344" s="55"/>
      <c r="C344" s="77"/>
      <c r="D344" s="67" t="str">
        <f aca="false">IF(C344="","",MONTH(C344))</f>
        <v/>
      </c>
      <c r="E344" s="55"/>
      <c r="F344" s="55" t="n">
        <f aca="false">IFERROR(INDEX(Cuentas!$C$8:$C$500,MATCH(A344&amp;"|"&amp;E344,Cuentas!$A$8:$A$500&amp;"|"&amp;Cuentas!$B$8:$B$500,0)),"")</f>
        <v>0</v>
      </c>
      <c r="G344" s="55"/>
      <c r="H344" s="83"/>
      <c r="I344" s="83"/>
      <c r="J344" s="55"/>
      <c r="K344" s="55"/>
    </row>
    <row r="345" customFormat="false" ht="18" hidden="false" customHeight="true" outlineLevel="0" collapsed="false">
      <c r="A345" s="54"/>
      <c r="B345" s="54"/>
      <c r="C345" s="80"/>
      <c r="D345" s="69" t="str">
        <f aca="false">IF(C345="","",MONTH(C345))</f>
        <v/>
      </c>
      <c r="E345" s="54"/>
      <c r="F345" s="54" t="n">
        <f aca="false">IFERROR(INDEX(Cuentas!$C$8:$C$500,MATCH(A345&amp;"|"&amp;E345,Cuentas!$A$8:$A$500&amp;"|"&amp;Cuentas!$B$8:$B$500,0)),"")</f>
        <v>0</v>
      </c>
      <c r="G345" s="54"/>
      <c r="H345" s="82"/>
      <c r="I345" s="82"/>
      <c r="J345" s="54"/>
      <c r="K345" s="54"/>
    </row>
    <row r="346" customFormat="false" ht="18" hidden="false" customHeight="true" outlineLevel="0" collapsed="false">
      <c r="A346" s="55"/>
      <c r="B346" s="55"/>
      <c r="C346" s="77"/>
      <c r="D346" s="67" t="str">
        <f aca="false">IF(C346="","",MONTH(C346))</f>
        <v/>
      </c>
      <c r="E346" s="55"/>
      <c r="F346" s="55" t="n">
        <f aca="false">IFERROR(INDEX(Cuentas!$C$8:$C$500,MATCH(A346&amp;"|"&amp;E346,Cuentas!$A$8:$A$500&amp;"|"&amp;Cuentas!$B$8:$B$500,0)),"")</f>
        <v>0</v>
      </c>
      <c r="G346" s="55"/>
      <c r="H346" s="83"/>
      <c r="I346" s="83"/>
      <c r="J346" s="55"/>
      <c r="K346" s="55"/>
    </row>
    <row r="347" customFormat="false" ht="18" hidden="false" customHeight="true" outlineLevel="0" collapsed="false">
      <c r="A347" s="54"/>
      <c r="B347" s="54"/>
      <c r="C347" s="80"/>
      <c r="D347" s="69" t="str">
        <f aca="false">IF(C347="","",MONTH(C347))</f>
        <v/>
      </c>
      <c r="E347" s="54"/>
      <c r="F347" s="54" t="n">
        <f aca="false">IFERROR(INDEX(Cuentas!$C$8:$C$500,MATCH(A347&amp;"|"&amp;E347,Cuentas!$A$8:$A$500&amp;"|"&amp;Cuentas!$B$8:$B$500,0)),"")</f>
        <v>0</v>
      </c>
      <c r="G347" s="54"/>
      <c r="H347" s="82"/>
      <c r="I347" s="82"/>
      <c r="J347" s="54"/>
      <c r="K347" s="54"/>
    </row>
    <row r="348" customFormat="false" ht="18" hidden="false" customHeight="true" outlineLevel="0" collapsed="false">
      <c r="A348" s="55"/>
      <c r="B348" s="55"/>
      <c r="C348" s="77"/>
      <c r="D348" s="67" t="str">
        <f aca="false">IF(C348="","",MONTH(C348))</f>
        <v/>
      </c>
      <c r="E348" s="55"/>
      <c r="F348" s="55" t="n">
        <f aca="false">IFERROR(INDEX(Cuentas!$C$8:$C$500,MATCH(A348&amp;"|"&amp;E348,Cuentas!$A$8:$A$500&amp;"|"&amp;Cuentas!$B$8:$B$500,0)),"")</f>
        <v>0</v>
      </c>
      <c r="G348" s="55"/>
      <c r="H348" s="83"/>
      <c r="I348" s="83"/>
      <c r="J348" s="55"/>
      <c r="K348" s="55"/>
    </row>
    <row r="349" customFormat="false" ht="18" hidden="false" customHeight="true" outlineLevel="0" collapsed="false">
      <c r="A349" s="54"/>
      <c r="B349" s="54"/>
      <c r="C349" s="80"/>
      <c r="D349" s="69" t="str">
        <f aca="false">IF(C349="","",MONTH(C349))</f>
        <v/>
      </c>
      <c r="E349" s="54"/>
      <c r="F349" s="54" t="n">
        <f aca="false">IFERROR(INDEX(Cuentas!$C$8:$C$500,MATCH(A349&amp;"|"&amp;E349,Cuentas!$A$8:$A$500&amp;"|"&amp;Cuentas!$B$8:$B$500,0)),"")</f>
        <v>0</v>
      </c>
      <c r="G349" s="54"/>
      <c r="H349" s="82"/>
      <c r="I349" s="82"/>
      <c r="J349" s="54"/>
      <c r="K349" s="54"/>
    </row>
    <row r="350" customFormat="false" ht="18" hidden="false" customHeight="true" outlineLevel="0" collapsed="false">
      <c r="A350" s="55"/>
      <c r="B350" s="55"/>
      <c r="C350" s="77"/>
      <c r="D350" s="67" t="str">
        <f aca="false">IF(C350="","",MONTH(C350))</f>
        <v/>
      </c>
      <c r="E350" s="55"/>
      <c r="F350" s="55" t="n">
        <f aca="false">IFERROR(INDEX(Cuentas!$C$8:$C$500,MATCH(A350&amp;"|"&amp;E350,Cuentas!$A$8:$A$500&amp;"|"&amp;Cuentas!$B$8:$B$500,0)),"")</f>
        <v>0</v>
      </c>
      <c r="G350" s="55"/>
      <c r="H350" s="83"/>
      <c r="I350" s="83"/>
      <c r="J350" s="55"/>
      <c r="K350" s="55"/>
    </row>
    <row r="351" customFormat="false" ht="18" hidden="false" customHeight="true" outlineLevel="0" collapsed="false">
      <c r="A351" s="54"/>
      <c r="B351" s="54"/>
      <c r="C351" s="80"/>
      <c r="D351" s="69" t="str">
        <f aca="false">IF(C351="","",MONTH(C351))</f>
        <v/>
      </c>
      <c r="E351" s="54"/>
      <c r="F351" s="54" t="n">
        <f aca="false">IFERROR(INDEX(Cuentas!$C$8:$C$500,MATCH(A351&amp;"|"&amp;E351,Cuentas!$A$8:$A$500&amp;"|"&amp;Cuentas!$B$8:$B$500,0)),"")</f>
        <v>0</v>
      </c>
      <c r="G351" s="54"/>
      <c r="H351" s="82"/>
      <c r="I351" s="82"/>
      <c r="J351" s="54"/>
      <c r="K351" s="54"/>
    </row>
    <row r="352" customFormat="false" ht="18" hidden="false" customHeight="true" outlineLevel="0" collapsed="false">
      <c r="A352" s="55"/>
      <c r="B352" s="55"/>
      <c r="C352" s="77"/>
      <c r="D352" s="67" t="str">
        <f aca="false">IF(C352="","",MONTH(C352))</f>
        <v/>
      </c>
      <c r="E352" s="55"/>
      <c r="F352" s="55" t="n">
        <f aca="false">IFERROR(INDEX(Cuentas!$C$8:$C$500,MATCH(A352&amp;"|"&amp;E352,Cuentas!$A$8:$A$500&amp;"|"&amp;Cuentas!$B$8:$B$500,0)),"")</f>
        <v>0</v>
      </c>
      <c r="G352" s="55"/>
      <c r="H352" s="83"/>
      <c r="I352" s="83"/>
      <c r="J352" s="55"/>
      <c r="K352" s="55"/>
    </row>
    <row r="353" customFormat="false" ht="18" hidden="false" customHeight="true" outlineLevel="0" collapsed="false">
      <c r="A353" s="54"/>
      <c r="B353" s="54"/>
      <c r="C353" s="80"/>
      <c r="D353" s="69" t="str">
        <f aca="false">IF(C353="","",MONTH(C353))</f>
        <v/>
      </c>
      <c r="E353" s="54"/>
      <c r="F353" s="54" t="n">
        <f aca="false">IFERROR(INDEX(Cuentas!$C$8:$C$500,MATCH(A353&amp;"|"&amp;E353,Cuentas!$A$8:$A$500&amp;"|"&amp;Cuentas!$B$8:$B$500,0)),"")</f>
        <v>0</v>
      </c>
      <c r="G353" s="54"/>
      <c r="H353" s="82"/>
      <c r="I353" s="82"/>
      <c r="J353" s="54"/>
      <c r="K353" s="54"/>
    </row>
    <row r="354" customFormat="false" ht="18" hidden="false" customHeight="true" outlineLevel="0" collapsed="false">
      <c r="A354" s="55"/>
      <c r="B354" s="55"/>
      <c r="C354" s="77"/>
      <c r="D354" s="67" t="str">
        <f aca="false">IF(C354="","",MONTH(C354))</f>
        <v/>
      </c>
      <c r="E354" s="55"/>
      <c r="F354" s="55" t="n">
        <f aca="false">IFERROR(INDEX(Cuentas!$C$8:$C$500,MATCH(A354&amp;"|"&amp;E354,Cuentas!$A$8:$A$500&amp;"|"&amp;Cuentas!$B$8:$B$500,0)),"")</f>
        <v>0</v>
      </c>
      <c r="G354" s="55"/>
      <c r="H354" s="83"/>
      <c r="I354" s="83"/>
      <c r="J354" s="55"/>
      <c r="K354" s="55"/>
    </row>
    <row r="355" customFormat="false" ht="18" hidden="false" customHeight="true" outlineLevel="0" collapsed="false">
      <c r="A355" s="54"/>
      <c r="B355" s="54"/>
      <c r="C355" s="80"/>
      <c r="D355" s="69" t="str">
        <f aca="false">IF(C355="","",MONTH(C355))</f>
        <v/>
      </c>
      <c r="E355" s="54"/>
      <c r="F355" s="54" t="n">
        <f aca="false">IFERROR(INDEX(Cuentas!$C$8:$C$500,MATCH(A355&amp;"|"&amp;E355,Cuentas!$A$8:$A$500&amp;"|"&amp;Cuentas!$B$8:$B$500,0)),"")</f>
        <v>0</v>
      </c>
      <c r="G355" s="54"/>
      <c r="H355" s="82"/>
      <c r="I355" s="82"/>
      <c r="J355" s="54"/>
      <c r="K355" s="54"/>
    </row>
    <row r="356" customFormat="false" ht="18" hidden="false" customHeight="true" outlineLevel="0" collapsed="false">
      <c r="A356" s="55"/>
      <c r="B356" s="55"/>
      <c r="C356" s="77"/>
      <c r="D356" s="67" t="str">
        <f aca="false">IF(C356="","",MONTH(C356))</f>
        <v/>
      </c>
      <c r="E356" s="55"/>
      <c r="F356" s="55" t="n">
        <f aca="false">IFERROR(INDEX(Cuentas!$C$8:$C$500,MATCH(A356&amp;"|"&amp;E356,Cuentas!$A$8:$A$500&amp;"|"&amp;Cuentas!$B$8:$B$500,0)),"")</f>
        <v>0</v>
      </c>
      <c r="G356" s="55"/>
      <c r="H356" s="83"/>
      <c r="I356" s="83"/>
      <c r="J356" s="55"/>
      <c r="K356" s="55"/>
    </row>
    <row r="357" customFormat="false" ht="18" hidden="false" customHeight="true" outlineLevel="0" collapsed="false">
      <c r="A357" s="54"/>
      <c r="B357" s="54"/>
      <c r="C357" s="80"/>
      <c r="D357" s="69" t="str">
        <f aca="false">IF(C357="","",MONTH(C357))</f>
        <v/>
      </c>
      <c r="E357" s="54"/>
      <c r="F357" s="54" t="n">
        <f aca="false">IFERROR(INDEX(Cuentas!$C$8:$C$500,MATCH(A357&amp;"|"&amp;E357,Cuentas!$A$8:$A$500&amp;"|"&amp;Cuentas!$B$8:$B$500,0)),"")</f>
        <v>0</v>
      </c>
      <c r="G357" s="54"/>
      <c r="H357" s="82"/>
      <c r="I357" s="82"/>
      <c r="J357" s="54"/>
      <c r="K357" s="54"/>
    </row>
    <row r="358" customFormat="false" ht="18" hidden="false" customHeight="true" outlineLevel="0" collapsed="false">
      <c r="A358" s="55"/>
      <c r="B358" s="55"/>
      <c r="C358" s="77"/>
      <c r="D358" s="67" t="str">
        <f aca="false">IF(C358="","",MONTH(C358))</f>
        <v/>
      </c>
      <c r="E358" s="55"/>
      <c r="F358" s="55" t="n">
        <f aca="false">IFERROR(INDEX(Cuentas!$C$8:$C$500,MATCH(A358&amp;"|"&amp;E358,Cuentas!$A$8:$A$500&amp;"|"&amp;Cuentas!$B$8:$B$500,0)),"")</f>
        <v>0</v>
      </c>
      <c r="G358" s="55"/>
      <c r="H358" s="83"/>
      <c r="I358" s="83"/>
      <c r="J358" s="55"/>
      <c r="K358" s="55"/>
    </row>
    <row r="359" customFormat="false" ht="18" hidden="false" customHeight="true" outlineLevel="0" collapsed="false">
      <c r="A359" s="54"/>
      <c r="B359" s="54"/>
      <c r="C359" s="80"/>
      <c r="D359" s="69" t="str">
        <f aca="false">IF(C359="","",MONTH(C359))</f>
        <v/>
      </c>
      <c r="E359" s="54"/>
      <c r="F359" s="54" t="n">
        <f aca="false">IFERROR(INDEX(Cuentas!$C$8:$C$500,MATCH(A359&amp;"|"&amp;E359,Cuentas!$A$8:$A$500&amp;"|"&amp;Cuentas!$B$8:$B$500,0)),"")</f>
        <v>0</v>
      </c>
      <c r="G359" s="54"/>
      <c r="H359" s="82"/>
      <c r="I359" s="82"/>
      <c r="J359" s="54"/>
      <c r="K359" s="54"/>
    </row>
    <row r="360" customFormat="false" ht="18" hidden="false" customHeight="true" outlineLevel="0" collapsed="false">
      <c r="A360" s="55"/>
      <c r="B360" s="55"/>
      <c r="C360" s="77"/>
      <c r="D360" s="67" t="str">
        <f aca="false">IF(C360="","",MONTH(C360))</f>
        <v/>
      </c>
      <c r="E360" s="55"/>
      <c r="F360" s="55" t="n">
        <f aca="false">IFERROR(INDEX(Cuentas!$C$8:$C$500,MATCH(A360&amp;"|"&amp;E360,Cuentas!$A$8:$A$500&amp;"|"&amp;Cuentas!$B$8:$B$500,0)),"")</f>
        <v>0</v>
      </c>
      <c r="G360" s="55"/>
      <c r="H360" s="83"/>
      <c r="I360" s="83"/>
      <c r="J360" s="55"/>
      <c r="K360" s="55"/>
    </row>
    <row r="361" customFormat="false" ht="18" hidden="false" customHeight="true" outlineLevel="0" collapsed="false">
      <c r="A361" s="54"/>
      <c r="B361" s="54"/>
      <c r="C361" s="80"/>
      <c r="D361" s="69" t="str">
        <f aca="false">IF(C361="","",MONTH(C361))</f>
        <v/>
      </c>
      <c r="E361" s="54"/>
      <c r="F361" s="54" t="n">
        <f aca="false">IFERROR(INDEX(Cuentas!$C$8:$C$500,MATCH(A361&amp;"|"&amp;E361,Cuentas!$A$8:$A$500&amp;"|"&amp;Cuentas!$B$8:$B$500,0)),"")</f>
        <v>0</v>
      </c>
      <c r="G361" s="54"/>
      <c r="H361" s="82"/>
      <c r="I361" s="82"/>
      <c r="J361" s="54"/>
      <c r="K361" s="54"/>
    </row>
    <row r="362" customFormat="false" ht="18" hidden="false" customHeight="true" outlineLevel="0" collapsed="false">
      <c r="A362" s="55"/>
      <c r="B362" s="55"/>
      <c r="C362" s="77"/>
      <c r="D362" s="67" t="str">
        <f aca="false">IF(C362="","",MONTH(C362))</f>
        <v/>
      </c>
      <c r="E362" s="55"/>
      <c r="F362" s="55" t="n">
        <f aca="false">IFERROR(INDEX(Cuentas!$C$8:$C$500,MATCH(A362&amp;"|"&amp;E362,Cuentas!$A$8:$A$500&amp;"|"&amp;Cuentas!$B$8:$B$500,0)),"")</f>
        <v>0</v>
      </c>
      <c r="G362" s="55"/>
      <c r="H362" s="83"/>
      <c r="I362" s="83"/>
      <c r="J362" s="55"/>
      <c r="K362" s="55"/>
    </row>
    <row r="363" customFormat="false" ht="18" hidden="false" customHeight="true" outlineLevel="0" collapsed="false">
      <c r="A363" s="54"/>
      <c r="B363" s="54"/>
      <c r="C363" s="80"/>
      <c r="D363" s="69" t="str">
        <f aca="false">IF(C363="","",MONTH(C363))</f>
        <v/>
      </c>
      <c r="E363" s="54"/>
      <c r="F363" s="54" t="n">
        <f aca="false">IFERROR(INDEX(Cuentas!$C$8:$C$500,MATCH(A363&amp;"|"&amp;E363,Cuentas!$A$8:$A$500&amp;"|"&amp;Cuentas!$B$8:$B$500,0)),"")</f>
        <v>0</v>
      </c>
      <c r="G363" s="54"/>
      <c r="H363" s="82"/>
      <c r="I363" s="82"/>
      <c r="J363" s="54"/>
      <c r="K363" s="54"/>
    </row>
    <row r="364" customFormat="false" ht="18" hidden="false" customHeight="true" outlineLevel="0" collapsed="false">
      <c r="A364" s="55"/>
      <c r="B364" s="55"/>
      <c r="C364" s="77"/>
      <c r="D364" s="67" t="str">
        <f aca="false">IF(C364="","",MONTH(C364))</f>
        <v/>
      </c>
      <c r="E364" s="55"/>
      <c r="F364" s="55" t="n">
        <f aca="false">IFERROR(INDEX(Cuentas!$C$8:$C$500,MATCH(A364&amp;"|"&amp;E364,Cuentas!$A$8:$A$500&amp;"|"&amp;Cuentas!$B$8:$B$500,0)),"")</f>
        <v>0</v>
      </c>
      <c r="G364" s="55"/>
      <c r="H364" s="83"/>
      <c r="I364" s="83"/>
      <c r="J364" s="55"/>
      <c r="K364" s="55"/>
    </row>
    <row r="365" customFormat="false" ht="18" hidden="false" customHeight="true" outlineLevel="0" collapsed="false">
      <c r="A365" s="54"/>
      <c r="B365" s="54"/>
      <c r="C365" s="80"/>
      <c r="D365" s="69" t="str">
        <f aca="false">IF(C365="","",MONTH(C365))</f>
        <v/>
      </c>
      <c r="E365" s="54"/>
      <c r="F365" s="54" t="n">
        <f aca="false">IFERROR(INDEX(Cuentas!$C$8:$C$500,MATCH(A365&amp;"|"&amp;E365,Cuentas!$A$8:$A$500&amp;"|"&amp;Cuentas!$B$8:$B$500,0)),"")</f>
        <v>0</v>
      </c>
      <c r="G365" s="54"/>
      <c r="H365" s="82"/>
      <c r="I365" s="82"/>
      <c r="J365" s="54"/>
      <c r="K365" s="54"/>
    </row>
    <row r="366" customFormat="false" ht="18" hidden="false" customHeight="true" outlineLevel="0" collapsed="false">
      <c r="A366" s="55"/>
      <c r="B366" s="55"/>
      <c r="C366" s="77"/>
      <c r="D366" s="67" t="str">
        <f aca="false">IF(C366="","",MONTH(C366))</f>
        <v/>
      </c>
      <c r="E366" s="55"/>
      <c r="F366" s="55" t="n">
        <f aca="false">IFERROR(INDEX(Cuentas!$C$8:$C$500,MATCH(A366&amp;"|"&amp;E366,Cuentas!$A$8:$A$500&amp;"|"&amp;Cuentas!$B$8:$B$500,0)),"")</f>
        <v>0</v>
      </c>
      <c r="G366" s="55"/>
      <c r="H366" s="83"/>
      <c r="I366" s="83"/>
      <c r="J366" s="55"/>
      <c r="K366" s="55"/>
    </row>
    <row r="367" customFormat="false" ht="18" hidden="false" customHeight="true" outlineLevel="0" collapsed="false">
      <c r="A367" s="54"/>
      <c r="B367" s="54"/>
      <c r="C367" s="80"/>
      <c r="D367" s="69" t="str">
        <f aca="false">IF(C367="","",MONTH(C367))</f>
        <v/>
      </c>
      <c r="E367" s="54"/>
      <c r="F367" s="54" t="n">
        <f aca="false">IFERROR(INDEX(Cuentas!$C$8:$C$500,MATCH(A367&amp;"|"&amp;E367,Cuentas!$A$8:$A$500&amp;"|"&amp;Cuentas!$B$8:$B$500,0)),"")</f>
        <v>0</v>
      </c>
      <c r="G367" s="54"/>
      <c r="H367" s="82"/>
      <c r="I367" s="82"/>
      <c r="J367" s="54"/>
      <c r="K367" s="54"/>
    </row>
    <row r="368" customFormat="false" ht="18" hidden="false" customHeight="true" outlineLevel="0" collapsed="false">
      <c r="A368" s="55"/>
      <c r="B368" s="55"/>
      <c r="C368" s="77"/>
      <c r="D368" s="67" t="str">
        <f aca="false">IF(C368="","",MONTH(C368))</f>
        <v/>
      </c>
      <c r="E368" s="55"/>
      <c r="F368" s="55" t="n">
        <f aca="false">IFERROR(INDEX(Cuentas!$C$8:$C$500,MATCH(A368&amp;"|"&amp;E368,Cuentas!$A$8:$A$500&amp;"|"&amp;Cuentas!$B$8:$B$500,0)),"")</f>
        <v>0</v>
      </c>
      <c r="G368" s="55"/>
      <c r="H368" s="83"/>
      <c r="I368" s="83"/>
      <c r="J368" s="55"/>
      <c r="K368" s="55"/>
    </row>
    <row r="369" customFormat="false" ht="18" hidden="false" customHeight="true" outlineLevel="0" collapsed="false">
      <c r="A369" s="54"/>
      <c r="B369" s="54"/>
      <c r="C369" s="80"/>
      <c r="D369" s="69" t="str">
        <f aca="false">IF(C369="","",MONTH(C369))</f>
        <v/>
      </c>
      <c r="E369" s="54"/>
      <c r="F369" s="54" t="n">
        <f aca="false">IFERROR(INDEX(Cuentas!$C$8:$C$500,MATCH(A369&amp;"|"&amp;E369,Cuentas!$A$8:$A$500&amp;"|"&amp;Cuentas!$B$8:$B$500,0)),"")</f>
        <v>0</v>
      </c>
      <c r="G369" s="54"/>
      <c r="H369" s="82"/>
      <c r="I369" s="82"/>
      <c r="J369" s="54"/>
      <c r="K369" s="54"/>
    </row>
    <row r="370" customFormat="false" ht="18" hidden="false" customHeight="true" outlineLevel="0" collapsed="false">
      <c r="A370" s="55"/>
      <c r="B370" s="55"/>
      <c r="C370" s="77"/>
      <c r="D370" s="67" t="str">
        <f aca="false">IF(C370="","",MONTH(C370))</f>
        <v/>
      </c>
      <c r="E370" s="55"/>
      <c r="F370" s="55" t="n">
        <f aca="false">IFERROR(INDEX(Cuentas!$C$8:$C$500,MATCH(A370&amp;"|"&amp;E370,Cuentas!$A$8:$A$500&amp;"|"&amp;Cuentas!$B$8:$B$500,0)),"")</f>
        <v>0</v>
      </c>
      <c r="G370" s="55"/>
      <c r="H370" s="83"/>
      <c r="I370" s="83"/>
      <c r="J370" s="55"/>
      <c r="K370" s="55"/>
    </row>
    <row r="371" customFormat="false" ht="18" hidden="false" customHeight="true" outlineLevel="0" collapsed="false">
      <c r="A371" s="54"/>
      <c r="B371" s="54"/>
      <c r="C371" s="80"/>
      <c r="D371" s="69" t="str">
        <f aca="false">IF(C371="","",MONTH(C371))</f>
        <v/>
      </c>
      <c r="E371" s="54"/>
      <c r="F371" s="54" t="n">
        <f aca="false">IFERROR(INDEX(Cuentas!$C$8:$C$500,MATCH(A371&amp;"|"&amp;E371,Cuentas!$A$8:$A$500&amp;"|"&amp;Cuentas!$B$8:$B$500,0)),"")</f>
        <v>0</v>
      </c>
      <c r="G371" s="54"/>
      <c r="H371" s="82"/>
      <c r="I371" s="82"/>
      <c r="J371" s="54"/>
      <c r="K371" s="54"/>
    </row>
    <row r="372" customFormat="false" ht="18" hidden="false" customHeight="true" outlineLevel="0" collapsed="false">
      <c r="A372" s="55"/>
      <c r="B372" s="55"/>
      <c r="C372" s="77"/>
      <c r="D372" s="67" t="str">
        <f aca="false">IF(C372="","",MONTH(C372))</f>
        <v/>
      </c>
      <c r="E372" s="55"/>
      <c r="F372" s="55" t="n">
        <f aca="false">IFERROR(INDEX(Cuentas!$C$8:$C$500,MATCH(A372&amp;"|"&amp;E372,Cuentas!$A$8:$A$500&amp;"|"&amp;Cuentas!$B$8:$B$500,0)),"")</f>
        <v>0</v>
      </c>
      <c r="G372" s="55"/>
      <c r="H372" s="83"/>
      <c r="I372" s="83"/>
      <c r="J372" s="55"/>
      <c r="K372" s="55"/>
    </row>
    <row r="373" customFormat="false" ht="18" hidden="false" customHeight="true" outlineLevel="0" collapsed="false">
      <c r="A373" s="54"/>
      <c r="B373" s="54"/>
      <c r="C373" s="80"/>
      <c r="D373" s="69" t="str">
        <f aca="false">IF(C373="","",MONTH(C373))</f>
        <v/>
      </c>
      <c r="E373" s="54"/>
      <c r="F373" s="54" t="n">
        <f aca="false">IFERROR(INDEX(Cuentas!$C$8:$C$500,MATCH(A373&amp;"|"&amp;E373,Cuentas!$A$8:$A$500&amp;"|"&amp;Cuentas!$B$8:$B$500,0)),"")</f>
        <v>0</v>
      </c>
      <c r="G373" s="54"/>
      <c r="H373" s="82"/>
      <c r="I373" s="82"/>
      <c r="J373" s="54"/>
      <c r="K373" s="54"/>
    </row>
    <row r="374" customFormat="false" ht="18" hidden="false" customHeight="true" outlineLevel="0" collapsed="false">
      <c r="A374" s="55"/>
      <c r="B374" s="55"/>
      <c r="C374" s="77"/>
      <c r="D374" s="67" t="str">
        <f aca="false">IF(C374="","",MONTH(C374))</f>
        <v/>
      </c>
      <c r="E374" s="55"/>
      <c r="F374" s="55" t="n">
        <f aca="false">IFERROR(INDEX(Cuentas!$C$8:$C$500,MATCH(A374&amp;"|"&amp;E374,Cuentas!$A$8:$A$500&amp;"|"&amp;Cuentas!$B$8:$B$500,0)),"")</f>
        <v>0</v>
      </c>
      <c r="G374" s="55"/>
      <c r="H374" s="83"/>
      <c r="I374" s="83"/>
      <c r="J374" s="55"/>
      <c r="K374" s="55"/>
    </row>
    <row r="375" customFormat="false" ht="18" hidden="false" customHeight="true" outlineLevel="0" collapsed="false">
      <c r="A375" s="54"/>
      <c r="B375" s="54"/>
      <c r="C375" s="80"/>
      <c r="D375" s="69" t="str">
        <f aca="false">IF(C375="","",MONTH(C375))</f>
        <v/>
      </c>
      <c r="E375" s="54"/>
      <c r="F375" s="54" t="n">
        <f aca="false">IFERROR(INDEX(Cuentas!$C$8:$C$500,MATCH(A375&amp;"|"&amp;E375,Cuentas!$A$8:$A$500&amp;"|"&amp;Cuentas!$B$8:$B$500,0)),"")</f>
        <v>0</v>
      </c>
      <c r="G375" s="54"/>
      <c r="H375" s="82"/>
      <c r="I375" s="82"/>
      <c r="J375" s="54"/>
      <c r="K375" s="54"/>
    </row>
    <row r="376" customFormat="false" ht="18" hidden="false" customHeight="true" outlineLevel="0" collapsed="false">
      <c r="A376" s="55"/>
      <c r="B376" s="55"/>
      <c r="C376" s="77"/>
      <c r="D376" s="67" t="str">
        <f aca="false">IF(C376="","",MONTH(C376))</f>
        <v/>
      </c>
      <c r="E376" s="55"/>
      <c r="F376" s="55" t="n">
        <f aca="false">IFERROR(INDEX(Cuentas!$C$8:$C$500,MATCH(A376&amp;"|"&amp;E376,Cuentas!$A$8:$A$500&amp;"|"&amp;Cuentas!$B$8:$B$500,0)),"")</f>
        <v>0</v>
      </c>
      <c r="G376" s="55"/>
      <c r="H376" s="83"/>
      <c r="I376" s="83"/>
      <c r="J376" s="55"/>
      <c r="K376" s="55"/>
    </row>
    <row r="377" customFormat="false" ht="18" hidden="false" customHeight="true" outlineLevel="0" collapsed="false">
      <c r="A377" s="54"/>
      <c r="B377" s="54"/>
      <c r="C377" s="80"/>
      <c r="D377" s="69" t="str">
        <f aca="false">IF(C377="","",MONTH(C377))</f>
        <v/>
      </c>
      <c r="E377" s="54"/>
      <c r="F377" s="54" t="n">
        <f aca="false">IFERROR(INDEX(Cuentas!$C$8:$C$500,MATCH(A377&amp;"|"&amp;E377,Cuentas!$A$8:$A$500&amp;"|"&amp;Cuentas!$B$8:$B$500,0)),"")</f>
        <v>0</v>
      </c>
      <c r="G377" s="54"/>
      <c r="H377" s="82"/>
      <c r="I377" s="82"/>
      <c r="J377" s="54"/>
      <c r="K377" s="54"/>
    </row>
    <row r="378" customFormat="false" ht="18" hidden="false" customHeight="true" outlineLevel="0" collapsed="false">
      <c r="A378" s="55"/>
      <c r="B378" s="55"/>
      <c r="C378" s="77"/>
      <c r="D378" s="67" t="str">
        <f aca="false">IF(C378="","",MONTH(C378))</f>
        <v/>
      </c>
      <c r="E378" s="55"/>
      <c r="F378" s="55" t="n">
        <f aca="false">IFERROR(INDEX(Cuentas!$C$8:$C$500,MATCH(A378&amp;"|"&amp;E378,Cuentas!$A$8:$A$500&amp;"|"&amp;Cuentas!$B$8:$B$500,0)),"")</f>
        <v>0</v>
      </c>
      <c r="G378" s="55"/>
      <c r="H378" s="83"/>
      <c r="I378" s="83"/>
      <c r="J378" s="55"/>
      <c r="K378" s="55"/>
    </row>
    <row r="379" customFormat="false" ht="18" hidden="false" customHeight="true" outlineLevel="0" collapsed="false">
      <c r="A379" s="54"/>
      <c r="B379" s="54"/>
      <c r="C379" s="80"/>
      <c r="D379" s="69" t="str">
        <f aca="false">IF(C379="","",MONTH(C379))</f>
        <v/>
      </c>
      <c r="E379" s="54"/>
      <c r="F379" s="54" t="n">
        <f aca="false">IFERROR(INDEX(Cuentas!$C$8:$C$500,MATCH(A379&amp;"|"&amp;E379,Cuentas!$A$8:$A$500&amp;"|"&amp;Cuentas!$B$8:$B$500,0)),"")</f>
        <v>0</v>
      </c>
      <c r="G379" s="54"/>
      <c r="H379" s="82"/>
      <c r="I379" s="82"/>
      <c r="J379" s="54"/>
      <c r="K379" s="54"/>
    </row>
    <row r="380" customFormat="false" ht="18" hidden="false" customHeight="true" outlineLevel="0" collapsed="false">
      <c r="A380" s="55"/>
      <c r="B380" s="55"/>
      <c r="C380" s="77"/>
      <c r="D380" s="67" t="str">
        <f aca="false">IF(C380="","",MONTH(C380))</f>
        <v/>
      </c>
      <c r="E380" s="55"/>
      <c r="F380" s="55" t="n">
        <f aca="false">IFERROR(INDEX(Cuentas!$C$8:$C$500,MATCH(A380&amp;"|"&amp;E380,Cuentas!$A$8:$A$500&amp;"|"&amp;Cuentas!$B$8:$B$500,0)),"")</f>
        <v>0</v>
      </c>
      <c r="G380" s="55"/>
      <c r="H380" s="83"/>
      <c r="I380" s="83"/>
      <c r="J380" s="55"/>
      <c r="K380" s="55"/>
    </row>
    <row r="381" customFormat="false" ht="18" hidden="false" customHeight="true" outlineLevel="0" collapsed="false">
      <c r="A381" s="54"/>
      <c r="B381" s="54"/>
      <c r="C381" s="80"/>
      <c r="D381" s="69" t="str">
        <f aca="false">IF(C381="","",MONTH(C381))</f>
        <v/>
      </c>
      <c r="E381" s="54"/>
      <c r="F381" s="54" t="n">
        <f aca="false">IFERROR(INDEX(Cuentas!$C$8:$C$500,MATCH(A381&amp;"|"&amp;E381,Cuentas!$A$8:$A$500&amp;"|"&amp;Cuentas!$B$8:$B$500,0)),"")</f>
        <v>0</v>
      </c>
      <c r="G381" s="54"/>
      <c r="H381" s="82"/>
      <c r="I381" s="82"/>
      <c r="J381" s="54"/>
      <c r="K381" s="54"/>
    </row>
    <row r="382" customFormat="false" ht="18" hidden="false" customHeight="true" outlineLevel="0" collapsed="false">
      <c r="A382" s="55"/>
      <c r="B382" s="55"/>
      <c r="C382" s="77"/>
      <c r="D382" s="67" t="str">
        <f aca="false">IF(C382="","",MONTH(C382))</f>
        <v/>
      </c>
      <c r="E382" s="55"/>
      <c r="F382" s="55" t="n">
        <f aca="false">IFERROR(INDEX(Cuentas!$C$8:$C$500,MATCH(A382&amp;"|"&amp;E382,Cuentas!$A$8:$A$500&amp;"|"&amp;Cuentas!$B$8:$B$500,0)),"")</f>
        <v>0</v>
      </c>
      <c r="G382" s="55"/>
      <c r="H382" s="83"/>
      <c r="I382" s="83"/>
      <c r="J382" s="55"/>
      <c r="K382" s="55"/>
    </row>
    <row r="383" customFormat="false" ht="18" hidden="false" customHeight="true" outlineLevel="0" collapsed="false">
      <c r="A383" s="54"/>
      <c r="B383" s="54"/>
      <c r="C383" s="80"/>
      <c r="D383" s="69" t="str">
        <f aca="false">IF(C383="","",MONTH(C383))</f>
        <v/>
      </c>
      <c r="E383" s="54"/>
      <c r="F383" s="54" t="n">
        <f aca="false">IFERROR(INDEX(Cuentas!$C$8:$C$500,MATCH(A383&amp;"|"&amp;E383,Cuentas!$A$8:$A$500&amp;"|"&amp;Cuentas!$B$8:$B$500,0)),"")</f>
        <v>0</v>
      </c>
      <c r="G383" s="54"/>
      <c r="H383" s="82"/>
      <c r="I383" s="82"/>
      <c r="J383" s="54"/>
      <c r="K383" s="54"/>
    </row>
    <row r="384" customFormat="false" ht="18" hidden="false" customHeight="true" outlineLevel="0" collapsed="false">
      <c r="A384" s="55"/>
      <c r="B384" s="55"/>
      <c r="C384" s="77"/>
      <c r="D384" s="67" t="str">
        <f aca="false">IF(C384="","",MONTH(C384))</f>
        <v/>
      </c>
      <c r="E384" s="55"/>
      <c r="F384" s="55" t="n">
        <f aca="false">IFERROR(INDEX(Cuentas!$C$8:$C$500,MATCH(A384&amp;"|"&amp;E384,Cuentas!$A$8:$A$500&amp;"|"&amp;Cuentas!$B$8:$B$500,0)),"")</f>
        <v>0</v>
      </c>
      <c r="G384" s="55"/>
      <c r="H384" s="83"/>
      <c r="I384" s="83"/>
      <c r="J384" s="55"/>
      <c r="K384" s="55"/>
    </row>
    <row r="385" customFormat="false" ht="18" hidden="false" customHeight="true" outlineLevel="0" collapsed="false">
      <c r="A385" s="54"/>
      <c r="B385" s="54"/>
      <c r="C385" s="80"/>
      <c r="D385" s="69" t="str">
        <f aca="false">IF(C385="","",MONTH(C385))</f>
        <v/>
      </c>
      <c r="E385" s="54"/>
      <c r="F385" s="54" t="n">
        <f aca="false">IFERROR(INDEX(Cuentas!$C$8:$C$500,MATCH(A385&amp;"|"&amp;E385,Cuentas!$A$8:$A$500&amp;"|"&amp;Cuentas!$B$8:$B$500,0)),"")</f>
        <v>0</v>
      </c>
      <c r="G385" s="54"/>
      <c r="H385" s="82"/>
      <c r="I385" s="82"/>
      <c r="J385" s="54"/>
      <c r="K385" s="54"/>
    </row>
    <row r="386" customFormat="false" ht="18" hidden="false" customHeight="true" outlineLevel="0" collapsed="false">
      <c r="A386" s="55"/>
      <c r="B386" s="55"/>
      <c r="C386" s="77"/>
      <c r="D386" s="67" t="str">
        <f aca="false">IF(C386="","",MONTH(C386))</f>
        <v/>
      </c>
      <c r="E386" s="55"/>
      <c r="F386" s="55" t="n">
        <f aca="false">IFERROR(INDEX(Cuentas!$C$8:$C$500,MATCH(A386&amp;"|"&amp;E386,Cuentas!$A$8:$A$500&amp;"|"&amp;Cuentas!$B$8:$B$500,0)),"")</f>
        <v>0</v>
      </c>
      <c r="G386" s="55"/>
      <c r="H386" s="83"/>
      <c r="I386" s="83"/>
      <c r="J386" s="55"/>
      <c r="K386" s="55"/>
    </row>
    <row r="387" customFormat="false" ht="18" hidden="false" customHeight="true" outlineLevel="0" collapsed="false">
      <c r="A387" s="54"/>
      <c r="B387" s="54"/>
      <c r="C387" s="80"/>
      <c r="D387" s="69" t="str">
        <f aca="false">IF(C387="","",MONTH(C387))</f>
        <v/>
      </c>
      <c r="E387" s="54"/>
      <c r="F387" s="54" t="n">
        <f aca="false">IFERROR(INDEX(Cuentas!$C$8:$C$500,MATCH(A387&amp;"|"&amp;E387,Cuentas!$A$8:$A$500&amp;"|"&amp;Cuentas!$B$8:$B$500,0)),"")</f>
        <v>0</v>
      </c>
      <c r="G387" s="54"/>
      <c r="H387" s="82"/>
      <c r="I387" s="82"/>
      <c r="J387" s="54"/>
      <c r="K387" s="54"/>
    </row>
    <row r="388" customFormat="false" ht="18" hidden="false" customHeight="true" outlineLevel="0" collapsed="false">
      <c r="A388" s="55"/>
      <c r="B388" s="55"/>
      <c r="C388" s="77"/>
      <c r="D388" s="67" t="str">
        <f aca="false">IF(C388="","",MONTH(C388))</f>
        <v/>
      </c>
      <c r="E388" s="55"/>
      <c r="F388" s="55" t="n">
        <f aca="false">IFERROR(INDEX(Cuentas!$C$8:$C$500,MATCH(A388&amp;"|"&amp;E388,Cuentas!$A$8:$A$500&amp;"|"&amp;Cuentas!$B$8:$B$500,0)),"")</f>
        <v>0</v>
      </c>
      <c r="G388" s="55"/>
      <c r="H388" s="83"/>
      <c r="I388" s="83"/>
      <c r="J388" s="55"/>
      <c r="K388" s="55"/>
    </row>
    <row r="389" customFormat="false" ht="18" hidden="false" customHeight="true" outlineLevel="0" collapsed="false">
      <c r="A389" s="54"/>
      <c r="B389" s="54"/>
      <c r="C389" s="80"/>
      <c r="D389" s="69" t="str">
        <f aca="false">IF(C389="","",MONTH(C389))</f>
        <v/>
      </c>
      <c r="E389" s="54"/>
      <c r="F389" s="54" t="n">
        <f aca="false">IFERROR(INDEX(Cuentas!$C$8:$C$500,MATCH(A389&amp;"|"&amp;E389,Cuentas!$A$8:$A$500&amp;"|"&amp;Cuentas!$B$8:$B$500,0)),"")</f>
        <v>0</v>
      </c>
      <c r="G389" s="54"/>
      <c r="H389" s="82"/>
      <c r="I389" s="82"/>
      <c r="J389" s="54"/>
      <c r="K389" s="54"/>
    </row>
    <row r="390" customFormat="false" ht="18" hidden="false" customHeight="true" outlineLevel="0" collapsed="false">
      <c r="A390" s="55"/>
      <c r="B390" s="55"/>
      <c r="C390" s="77"/>
      <c r="D390" s="67" t="str">
        <f aca="false">IF(C390="","",MONTH(C390))</f>
        <v/>
      </c>
      <c r="E390" s="55"/>
      <c r="F390" s="55" t="n">
        <f aca="false">IFERROR(INDEX(Cuentas!$C$8:$C$500,MATCH(A390&amp;"|"&amp;E390,Cuentas!$A$8:$A$500&amp;"|"&amp;Cuentas!$B$8:$B$500,0)),"")</f>
        <v>0</v>
      </c>
      <c r="G390" s="55"/>
      <c r="H390" s="83"/>
      <c r="I390" s="83"/>
      <c r="J390" s="55"/>
      <c r="K390" s="55"/>
    </row>
    <row r="391" customFormat="false" ht="18" hidden="false" customHeight="true" outlineLevel="0" collapsed="false">
      <c r="A391" s="54"/>
      <c r="B391" s="54"/>
      <c r="C391" s="80"/>
      <c r="D391" s="69" t="str">
        <f aca="false">IF(C391="","",MONTH(C391))</f>
        <v/>
      </c>
      <c r="E391" s="54"/>
      <c r="F391" s="54" t="n">
        <f aca="false">IFERROR(INDEX(Cuentas!$C$8:$C$500,MATCH(A391&amp;"|"&amp;E391,Cuentas!$A$8:$A$500&amp;"|"&amp;Cuentas!$B$8:$B$500,0)),"")</f>
        <v>0</v>
      </c>
      <c r="G391" s="54"/>
      <c r="H391" s="82"/>
      <c r="I391" s="82"/>
      <c r="J391" s="54"/>
      <c r="K391" s="54"/>
    </row>
    <row r="392" customFormat="false" ht="18" hidden="false" customHeight="true" outlineLevel="0" collapsed="false">
      <c r="A392" s="55"/>
      <c r="B392" s="55"/>
      <c r="C392" s="77"/>
      <c r="D392" s="67" t="str">
        <f aca="false">IF(C392="","",MONTH(C392))</f>
        <v/>
      </c>
      <c r="E392" s="55"/>
      <c r="F392" s="55" t="n">
        <f aca="false">IFERROR(INDEX(Cuentas!$C$8:$C$500,MATCH(A392&amp;"|"&amp;E392,Cuentas!$A$8:$A$500&amp;"|"&amp;Cuentas!$B$8:$B$500,0)),"")</f>
        <v>0</v>
      </c>
      <c r="G392" s="55"/>
      <c r="H392" s="83"/>
      <c r="I392" s="83"/>
      <c r="J392" s="55"/>
      <c r="K392" s="55"/>
    </row>
    <row r="393" customFormat="false" ht="18" hidden="false" customHeight="true" outlineLevel="0" collapsed="false">
      <c r="A393" s="54"/>
      <c r="B393" s="54"/>
      <c r="C393" s="80"/>
      <c r="D393" s="69" t="str">
        <f aca="false">IF(C393="","",MONTH(C393))</f>
        <v/>
      </c>
      <c r="E393" s="54"/>
      <c r="F393" s="54" t="n">
        <f aca="false">IFERROR(INDEX(Cuentas!$C$8:$C$500,MATCH(A393&amp;"|"&amp;E393,Cuentas!$A$8:$A$500&amp;"|"&amp;Cuentas!$B$8:$B$500,0)),"")</f>
        <v>0</v>
      </c>
      <c r="G393" s="54"/>
      <c r="H393" s="82"/>
      <c r="I393" s="82"/>
      <c r="J393" s="54"/>
      <c r="K393" s="54"/>
    </row>
    <row r="394" customFormat="false" ht="18" hidden="false" customHeight="true" outlineLevel="0" collapsed="false">
      <c r="A394" s="55"/>
      <c r="B394" s="55"/>
      <c r="C394" s="77"/>
      <c r="D394" s="67" t="str">
        <f aca="false">IF(C394="","",MONTH(C394))</f>
        <v/>
      </c>
      <c r="E394" s="55"/>
      <c r="F394" s="55" t="n">
        <f aca="false">IFERROR(INDEX(Cuentas!$C$8:$C$500,MATCH(A394&amp;"|"&amp;E394,Cuentas!$A$8:$A$500&amp;"|"&amp;Cuentas!$B$8:$B$500,0)),"")</f>
        <v>0</v>
      </c>
      <c r="G394" s="55"/>
      <c r="H394" s="83"/>
      <c r="I394" s="83"/>
      <c r="J394" s="55"/>
      <c r="K394" s="55"/>
    </row>
    <row r="395" customFormat="false" ht="18" hidden="false" customHeight="true" outlineLevel="0" collapsed="false">
      <c r="A395" s="54"/>
      <c r="B395" s="54"/>
      <c r="C395" s="80"/>
      <c r="D395" s="69" t="str">
        <f aca="false">IF(C395="","",MONTH(C395))</f>
        <v/>
      </c>
      <c r="E395" s="54"/>
      <c r="F395" s="54" t="n">
        <f aca="false">IFERROR(INDEX(Cuentas!$C$8:$C$500,MATCH(A395&amp;"|"&amp;E395,Cuentas!$A$8:$A$500&amp;"|"&amp;Cuentas!$B$8:$B$500,0)),"")</f>
        <v>0</v>
      </c>
      <c r="G395" s="54"/>
      <c r="H395" s="82"/>
      <c r="I395" s="82"/>
      <c r="J395" s="54"/>
      <c r="K395" s="54"/>
    </row>
    <row r="396" customFormat="false" ht="18" hidden="false" customHeight="true" outlineLevel="0" collapsed="false">
      <c r="A396" s="55"/>
      <c r="B396" s="55"/>
      <c r="C396" s="77"/>
      <c r="D396" s="67" t="str">
        <f aca="false">IF(C396="","",MONTH(C396))</f>
        <v/>
      </c>
      <c r="E396" s="55"/>
      <c r="F396" s="55" t="n">
        <f aca="false">IFERROR(INDEX(Cuentas!$C$8:$C$500,MATCH(A396&amp;"|"&amp;E396,Cuentas!$A$8:$A$500&amp;"|"&amp;Cuentas!$B$8:$B$500,0)),"")</f>
        <v>0</v>
      </c>
      <c r="G396" s="55"/>
      <c r="H396" s="83"/>
      <c r="I396" s="83"/>
      <c r="J396" s="55"/>
      <c r="K396" s="55"/>
    </row>
    <row r="397" customFormat="false" ht="18" hidden="false" customHeight="true" outlineLevel="0" collapsed="false">
      <c r="A397" s="54"/>
      <c r="B397" s="54"/>
      <c r="C397" s="80"/>
      <c r="D397" s="69" t="str">
        <f aca="false">IF(C397="","",MONTH(C397))</f>
        <v/>
      </c>
      <c r="E397" s="54"/>
      <c r="F397" s="54" t="n">
        <f aca="false">IFERROR(INDEX(Cuentas!$C$8:$C$500,MATCH(A397&amp;"|"&amp;E397,Cuentas!$A$8:$A$500&amp;"|"&amp;Cuentas!$B$8:$B$500,0)),"")</f>
        <v>0</v>
      </c>
      <c r="G397" s="54"/>
      <c r="H397" s="82"/>
      <c r="I397" s="82"/>
      <c r="J397" s="54"/>
      <c r="K397" s="54"/>
    </row>
    <row r="398" customFormat="false" ht="18" hidden="false" customHeight="true" outlineLevel="0" collapsed="false">
      <c r="A398" s="55"/>
      <c r="B398" s="55"/>
      <c r="C398" s="77"/>
      <c r="D398" s="67" t="str">
        <f aca="false">IF(C398="","",MONTH(C398))</f>
        <v/>
      </c>
      <c r="E398" s="55"/>
      <c r="F398" s="55" t="n">
        <f aca="false">IFERROR(INDEX(Cuentas!$C$8:$C$500,MATCH(A398&amp;"|"&amp;E398,Cuentas!$A$8:$A$500&amp;"|"&amp;Cuentas!$B$8:$B$500,0)),"")</f>
        <v>0</v>
      </c>
      <c r="G398" s="55"/>
      <c r="H398" s="83"/>
      <c r="I398" s="83"/>
      <c r="J398" s="55"/>
      <c r="K398" s="55"/>
    </row>
    <row r="399" customFormat="false" ht="18" hidden="false" customHeight="true" outlineLevel="0" collapsed="false">
      <c r="A399" s="54"/>
      <c r="B399" s="54"/>
      <c r="C399" s="80"/>
      <c r="D399" s="69" t="str">
        <f aca="false">IF(C399="","",MONTH(C399))</f>
        <v/>
      </c>
      <c r="E399" s="54"/>
      <c r="F399" s="54" t="n">
        <f aca="false">IFERROR(INDEX(Cuentas!$C$8:$C$500,MATCH(A399&amp;"|"&amp;E399,Cuentas!$A$8:$A$500&amp;"|"&amp;Cuentas!$B$8:$B$500,0)),"")</f>
        <v>0</v>
      </c>
      <c r="G399" s="54"/>
      <c r="H399" s="82"/>
      <c r="I399" s="82"/>
      <c r="J399" s="54"/>
      <c r="K399" s="54"/>
    </row>
    <row r="400" customFormat="false" ht="18" hidden="false" customHeight="true" outlineLevel="0" collapsed="false">
      <c r="A400" s="55"/>
      <c r="B400" s="55"/>
      <c r="C400" s="77"/>
      <c r="D400" s="67" t="str">
        <f aca="false">IF(C400="","",MONTH(C400))</f>
        <v/>
      </c>
      <c r="E400" s="55"/>
      <c r="F400" s="55" t="n">
        <f aca="false">IFERROR(INDEX(Cuentas!$C$8:$C$500,MATCH(A400&amp;"|"&amp;E400,Cuentas!$A$8:$A$500&amp;"|"&amp;Cuentas!$B$8:$B$500,0)),"")</f>
        <v>0</v>
      </c>
      <c r="G400" s="55"/>
      <c r="H400" s="83"/>
      <c r="I400" s="83"/>
      <c r="J400" s="55"/>
      <c r="K400" s="55"/>
    </row>
    <row r="401" customFormat="false" ht="18" hidden="false" customHeight="true" outlineLevel="0" collapsed="false">
      <c r="A401" s="54"/>
      <c r="B401" s="54"/>
      <c r="C401" s="80"/>
      <c r="D401" s="69" t="str">
        <f aca="false">IF(C401="","",MONTH(C401))</f>
        <v/>
      </c>
      <c r="E401" s="54"/>
      <c r="F401" s="54" t="n">
        <f aca="false">IFERROR(INDEX(Cuentas!$C$8:$C$500,MATCH(A401&amp;"|"&amp;E401,Cuentas!$A$8:$A$500&amp;"|"&amp;Cuentas!$B$8:$B$500,0)),"")</f>
        <v>0</v>
      </c>
      <c r="G401" s="54"/>
      <c r="H401" s="82"/>
      <c r="I401" s="82"/>
      <c r="J401" s="54"/>
      <c r="K401" s="54"/>
    </row>
    <row r="402" customFormat="false" ht="18" hidden="false" customHeight="true" outlineLevel="0" collapsed="false">
      <c r="A402" s="55"/>
      <c r="B402" s="55"/>
      <c r="C402" s="77"/>
      <c r="D402" s="67" t="str">
        <f aca="false">IF(C402="","",MONTH(C402))</f>
        <v/>
      </c>
      <c r="E402" s="55"/>
      <c r="F402" s="55" t="n">
        <f aca="false">IFERROR(INDEX(Cuentas!$C$8:$C$500,MATCH(A402&amp;"|"&amp;E402,Cuentas!$A$8:$A$500&amp;"|"&amp;Cuentas!$B$8:$B$500,0)),"")</f>
        <v>0</v>
      </c>
      <c r="G402" s="55"/>
      <c r="H402" s="83"/>
      <c r="I402" s="83"/>
      <c r="J402" s="55"/>
      <c r="K402" s="55"/>
    </row>
    <row r="403" customFormat="false" ht="18" hidden="false" customHeight="true" outlineLevel="0" collapsed="false">
      <c r="A403" s="54"/>
      <c r="B403" s="54"/>
      <c r="C403" s="80"/>
      <c r="D403" s="69" t="str">
        <f aca="false">IF(C403="","",MONTH(C403))</f>
        <v/>
      </c>
      <c r="E403" s="54"/>
      <c r="F403" s="54" t="n">
        <f aca="false">IFERROR(INDEX(Cuentas!$C$8:$C$500,MATCH(A403&amp;"|"&amp;E403,Cuentas!$A$8:$A$500&amp;"|"&amp;Cuentas!$B$8:$B$500,0)),"")</f>
        <v>0</v>
      </c>
      <c r="G403" s="54"/>
      <c r="H403" s="82"/>
      <c r="I403" s="82"/>
      <c r="J403" s="54"/>
      <c r="K403" s="54"/>
    </row>
    <row r="404" customFormat="false" ht="18" hidden="false" customHeight="true" outlineLevel="0" collapsed="false">
      <c r="A404" s="55"/>
      <c r="B404" s="55"/>
      <c r="C404" s="77"/>
      <c r="D404" s="67" t="str">
        <f aca="false">IF(C404="","",MONTH(C404))</f>
        <v/>
      </c>
      <c r="E404" s="55"/>
      <c r="F404" s="55" t="n">
        <f aca="false">IFERROR(INDEX(Cuentas!$C$8:$C$500,MATCH(A404&amp;"|"&amp;E404,Cuentas!$A$8:$A$500&amp;"|"&amp;Cuentas!$B$8:$B$500,0)),"")</f>
        <v>0</v>
      </c>
      <c r="G404" s="55"/>
      <c r="H404" s="83"/>
      <c r="I404" s="83"/>
      <c r="J404" s="55"/>
      <c r="K404" s="55"/>
    </row>
    <row r="405" customFormat="false" ht="18" hidden="false" customHeight="true" outlineLevel="0" collapsed="false">
      <c r="A405" s="54"/>
      <c r="B405" s="54"/>
      <c r="C405" s="80"/>
      <c r="D405" s="69" t="str">
        <f aca="false">IF(C405="","",MONTH(C405))</f>
        <v/>
      </c>
      <c r="E405" s="54"/>
      <c r="F405" s="54" t="n">
        <f aca="false">IFERROR(INDEX(Cuentas!$C$8:$C$500,MATCH(A405&amp;"|"&amp;E405,Cuentas!$A$8:$A$500&amp;"|"&amp;Cuentas!$B$8:$B$500,0)),"")</f>
        <v>0</v>
      </c>
      <c r="G405" s="54"/>
      <c r="H405" s="82"/>
      <c r="I405" s="82"/>
      <c r="J405" s="54"/>
      <c r="K405" s="54"/>
    </row>
    <row r="406" customFormat="false" ht="18" hidden="false" customHeight="true" outlineLevel="0" collapsed="false">
      <c r="A406" s="55"/>
      <c r="B406" s="55"/>
      <c r="C406" s="77"/>
      <c r="D406" s="67" t="str">
        <f aca="false">IF(C406="","",MONTH(C406))</f>
        <v/>
      </c>
      <c r="E406" s="55"/>
      <c r="F406" s="55" t="n">
        <f aca="false">IFERROR(INDEX(Cuentas!$C$8:$C$500,MATCH(A406&amp;"|"&amp;E406,Cuentas!$A$8:$A$500&amp;"|"&amp;Cuentas!$B$8:$B$500,0)),"")</f>
        <v>0</v>
      </c>
      <c r="G406" s="55"/>
      <c r="H406" s="83"/>
      <c r="I406" s="83"/>
      <c r="J406" s="55"/>
      <c r="K406" s="55"/>
    </row>
    <row r="407" customFormat="false" ht="18" hidden="false" customHeight="true" outlineLevel="0" collapsed="false">
      <c r="A407" s="54"/>
      <c r="B407" s="54"/>
      <c r="C407" s="80"/>
      <c r="D407" s="69" t="str">
        <f aca="false">IF(C407="","",MONTH(C407))</f>
        <v/>
      </c>
      <c r="E407" s="54"/>
      <c r="F407" s="54" t="n">
        <f aca="false">IFERROR(INDEX(Cuentas!$C$8:$C$500,MATCH(A407&amp;"|"&amp;E407,Cuentas!$A$8:$A$500&amp;"|"&amp;Cuentas!$B$8:$B$500,0)),"")</f>
        <v>0</v>
      </c>
      <c r="G407" s="54"/>
      <c r="H407" s="82"/>
      <c r="I407" s="82"/>
      <c r="J407" s="54"/>
      <c r="K407" s="54"/>
    </row>
    <row r="408" customFormat="false" ht="18" hidden="false" customHeight="true" outlineLevel="0" collapsed="false">
      <c r="A408" s="55"/>
      <c r="B408" s="55"/>
      <c r="C408" s="77"/>
      <c r="D408" s="67" t="str">
        <f aca="false">IF(C408="","",MONTH(C408))</f>
        <v/>
      </c>
      <c r="E408" s="55"/>
      <c r="F408" s="55" t="n">
        <f aca="false">IFERROR(INDEX(Cuentas!$C$8:$C$500,MATCH(A408&amp;"|"&amp;E408,Cuentas!$A$8:$A$500&amp;"|"&amp;Cuentas!$B$8:$B$500,0)),"")</f>
        <v>0</v>
      </c>
      <c r="G408" s="55"/>
      <c r="H408" s="83"/>
      <c r="I408" s="83"/>
      <c r="J408" s="55"/>
      <c r="K408" s="55"/>
    </row>
    <row r="409" customFormat="false" ht="18" hidden="false" customHeight="true" outlineLevel="0" collapsed="false">
      <c r="A409" s="54"/>
      <c r="B409" s="54"/>
      <c r="C409" s="80"/>
      <c r="D409" s="69" t="str">
        <f aca="false">IF(C409="","",MONTH(C409))</f>
        <v/>
      </c>
      <c r="E409" s="54"/>
      <c r="F409" s="54" t="n">
        <f aca="false">IFERROR(INDEX(Cuentas!$C$8:$C$500,MATCH(A409&amp;"|"&amp;E409,Cuentas!$A$8:$A$500&amp;"|"&amp;Cuentas!$B$8:$B$500,0)),"")</f>
        <v>0</v>
      </c>
      <c r="G409" s="54"/>
      <c r="H409" s="82"/>
      <c r="I409" s="82"/>
      <c r="J409" s="54"/>
      <c r="K409" s="54"/>
    </row>
    <row r="410" customFormat="false" ht="18" hidden="false" customHeight="true" outlineLevel="0" collapsed="false">
      <c r="A410" s="55"/>
      <c r="B410" s="55"/>
      <c r="C410" s="77"/>
      <c r="D410" s="67" t="str">
        <f aca="false">IF(C410="","",MONTH(C410))</f>
        <v/>
      </c>
      <c r="E410" s="55"/>
      <c r="F410" s="55" t="n">
        <f aca="false">IFERROR(INDEX(Cuentas!$C$8:$C$500,MATCH(A410&amp;"|"&amp;E410,Cuentas!$A$8:$A$500&amp;"|"&amp;Cuentas!$B$8:$B$500,0)),"")</f>
        <v>0</v>
      </c>
      <c r="G410" s="55"/>
      <c r="H410" s="83"/>
      <c r="I410" s="83"/>
      <c r="J410" s="55"/>
      <c r="K410" s="55"/>
    </row>
    <row r="411" customFormat="false" ht="18" hidden="false" customHeight="true" outlineLevel="0" collapsed="false">
      <c r="A411" s="54"/>
      <c r="B411" s="54"/>
      <c r="C411" s="80"/>
      <c r="D411" s="69" t="str">
        <f aca="false">IF(C411="","",MONTH(C411))</f>
        <v/>
      </c>
      <c r="E411" s="54"/>
      <c r="F411" s="54" t="n">
        <f aca="false">IFERROR(INDEX(Cuentas!$C$8:$C$500,MATCH(A411&amp;"|"&amp;E411,Cuentas!$A$8:$A$500&amp;"|"&amp;Cuentas!$B$8:$B$500,0)),"")</f>
        <v>0</v>
      </c>
      <c r="G411" s="54"/>
      <c r="H411" s="82"/>
      <c r="I411" s="82"/>
      <c r="J411" s="54"/>
      <c r="K411" s="54"/>
    </row>
    <row r="412" customFormat="false" ht="18" hidden="false" customHeight="true" outlineLevel="0" collapsed="false">
      <c r="A412" s="55"/>
      <c r="B412" s="55"/>
      <c r="C412" s="77"/>
      <c r="D412" s="67" t="str">
        <f aca="false">IF(C412="","",MONTH(C412))</f>
        <v/>
      </c>
      <c r="E412" s="55"/>
      <c r="F412" s="55" t="n">
        <f aca="false">IFERROR(INDEX(Cuentas!$C$8:$C$500,MATCH(A412&amp;"|"&amp;E412,Cuentas!$A$8:$A$500&amp;"|"&amp;Cuentas!$B$8:$B$500,0)),"")</f>
        <v>0</v>
      </c>
      <c r="G412" s="55"/>
      <c r="H412" s="83"/>
      <c r="I412" s="83"/>
      <c r="J412" s="55"/>
      <c r="K412" s="55"/>
    </row>
    <row r="413" customFormat="false" ht="18" hidden="false" customHeight="true" outlineLevel="0" collapsed="false">
      <c r="A413" s="54"/>
      <c r="B413" s="54"/>
      <c r="C413" s="80"/>
      <c r="D413" s="69" t="str">
        <f aca="false">IF(C413="","",MONTH(C413))</f>
        <v/>
      </c>
      <c r="E413" s="54"/>
      <c r="F413" s="54" t="n">
        <f aca="false">IFERROR(INDEX(Cuentas!$C$8:$C$500,MATCH(A413&amp;"|"&amp;E413,Cuentas!$A$8:$A$500&amp;"|"&amp;Cuentas!$B$8:$B$500,0)),"")</f>
        <v>0</v>
      </c>
      <c r="G413" s="54"/>
      <c r="H413" s="82"/>
      <c r="I413" s="82"/>
      <c r="J413" s="54"/>
      <c r="K413" s="54"/>
    </row>
    <row r="414" customFormat="false" ht="18" hidden="false" customHeight="true" outlineLevel="0" collapsed="false">
      <c r="A414" s="55"/>
      <c r="B414" s="55"/>
      <c r="C414" s="77"/>
      <c r="D414" s="67" t="str">
        <f aca="false">IF(C414="","",MONTH(C414))</f>
        <v/>
      </c>
      <c r="E414" s="55"/>
      <c r="F414" s="55" t="n">
        <f aca="false">IFERROR(INDEX(Cuentas!$C$8:$C$500,MATCH(A414&amp;"|"&amp;E414,Cuentas!$A$8:$A$500&amp;"|"&amp;Cuentas!$B$8:$B$500,0)),"")</f>
        <v>0</v>
      </c>
      <c r="G414" s="55"/>
      <c r="H414" s="83"/>
      <c r="I414" s="83"/>
      <c r="J414" s="55"/>
      <c r="K414" s="55"/>
    </row>
    <row r="415" customFormat="false" ht="18" hidden="false" customHeight="true" outlineLevel="0" collapsed="false">
      <c r="A415" s="54"/>
      <c r="B415" s="54"/>
      <c r="C415" s="80"/>
      <c r="D415" s="69" t="str">
        <f aca="false">IF(C415="","",MONTH(C415))</f>
        <v/>
      </c>
      <c r="E415" s="54"/>
      <c r="F415" s="54" t="n">
        <f aca="false">IFERROR(INDEX(Cuentas!$C$8:$C$500,MATCH(A415&amp;"|"&amp;E415,Cuentas!$A$8:$A$500&amp;"|"&amp;Cuentas!$B$8:$B$500,0)),"")</f>
        <v>0</v>
      </c>
      <c r="G415" s="54"/>
      <c r="H415" s="82"/>
      <c r="I415" s="82"/>
      <c r="J415" s="54"/>
      <c r="K415" s="54"/>
    </row>
    <row r="416" customFormat="false" ht="18" hidden="false" customHeight="true" outlineLevel="0" collapsed="false">
      <c r="A416" s="55"/>
      <c r="B416" s="55"/>
      <c r="C416" s="77"/>
      <c r="D416" s="67" t="str">
        <f aca="false">IF(C416="","",MONTH(C416))</f>
        <v/>
      </c>
      <c r="E416" s="55"/>
      <c r="F416" s="55" t="n">
        <f aca="false">IFERROR(INDEX(Cuentas!$C$8:$C$500,MATCH(A416&amp;"|"&amp;E416,Cuentas!$A$8:$A$500&amp;"|"&amp;Cuentas!$B$8:$B$500,0)),"")</f>
        <v>0</v>
      </c>
      <c r="G416" s="55"/>
      <c r="H416" s="83"/>
      <c r="I416" s="83"/>
      <c r="J416" s="55"/>
      <c r="K416" s="55"/>
    </row>
    <row r="417" customFormat="false" ht="18" hidden="false" customHeight="true" outlineLevel="0" collapsed="false">
      <c r="A417" s="54"/>
      <c r="B417" s="54"/>
      <c r="C417" s="80"/>
      <c r="D417" s="69" t="str">
        <f aca="false">IF(C417="","",MONTH(C417))</f>
        <v/>
      </c>
      <c r="E417" s="54"/>
      <c r="F417" s="54" t="n">
        <f aca="false">IFERROR(INDEX(Cuentas!$C$8:$C$500,MATCH(A417&amp;"|"&amp;E417,Cuentas!$A$8:$A$500&amp;"|"&amp;Cuentas!$B$8:$B$500,0)),"")</f>
        <v>0</v>
      </c>
      <c r="G417" s="54"/>
      <c r="H417" s="82"/>
      <c r="I417" s="82"/>
      <c r="J417" s="54"/>
      <c r="K417" s="54"/>
    </row>
    <row r="418" customFormat="false" ht="18" hidden="false" customHeight="true" outlineLevel="0" collapsed="false">
      <c r="A418" s="55"/>
      <c r="B418" s="55"/>
      <c r="C418" s="77"/>
      <c r="D418" s="67" t="str">
        <f aca="false">IF(C418="","",MONTH(C418))</f>
        <v/>
      </c>
      <c r="E418" s="55"/>
      <c r="F418" s="55" t="n">
        <f aca="false">IFERROR(INDEX(Cuentas!$C$8:$C$500,MATCH(A418&amp;"|"&amp;E418,Cuentas!$A$8:$A$500&amp;"|"&amp;Cuentas!$B$8:$B$500,0)),"")</f>
        <v>0</v>
      </c>
      <c r="G418" s="55"/>
      <c r="H418" s="83"/>
      <c r="I418" s="83"/>
      <c r="J418" s="55"/>
      <c r="K418" s="55"/>
    </row>
    <row r="419" customFormat="false" ht="18" hidden="false" customHeight="true" outlineLevel="0" collapsed="false">
      <c r="A419" s="54"/>
      <c r="B419" s="54"/>
      <c r="C419" s="80"/>
      <c r="D419" s="69" t="str">
        <f aca="false">IF(C419="","",MONTH(C419))</f>
        <v/>
      </c>
      <c r="E419" s="54"/>
      <c r="F419" s="54" t="n">
        <f aca="false">IFERROR(INDEX(Cuentas!$C$8:$C$500,MATCH(A419&amp;"|"&amp;E419,Cuentas!$A$8:$A$500&amp;"|"&amp;Cuentas!$B$8:$B$500,0)),"")</f>
        <v>0</v>
      </c>
      <c r="G419" s="54"/>
      <c r="H419" s="82"/>
      <c r="I419" s="82"/>
      <c r="J419" s="54"/>
      <c r="K419" s="54"/>
    </row>
    <row r="420" customFormat="false" ht="18" hidden="false" customHeight="true" outlineLevel="0" collapsed="false">
      <c r="A420" s="55"/>
      <c r="B420" s="55"/>
      <c r="C420" s="77"/>
      <c r="D420" s="67" t="str">
        <f aca="false">IF(C420="","",MONTH(C420))</f>
        <v/>
      </c>
      <c r="E420" s="55"/>
      <c r="F420" s="55" t="n">
        <f aca="false">IFERROR(INDEX(Cuentas!$C$8:$C$500,MATCH(A420&amp;"|"&amp;E420,Cuentas!$A$8:$A$500&amp;"|"&amp;Cuentas!$B$8:$B$500,0)),"")</f>
        <v>0</v>
      </c>
      <c r="G420" s="55"/>
      <c r="H420" s="83"/>
      <c r="I420" s="83"/>
      <c r="J420" s="55"/>
      <c r="K420" s="55"/>
    </row>
    <row r="421" customFormat="false" ht="18" hidden="false" customHeight="true" outlineLevel="0" collapsed="false">
      <c r="A421" s="54"/>
      <c r="B421" s="54"/>
      <c r="C421" s="80"/>
      <c r="D421" s="69" t="str">
        <f aca="false">IF(C421="","",MONTH(C421))</f>
        <v/>
      </c>
      <c r="E421" s="54"/>
      <c r="F421" s="54" t="n">
        <f aca="false">IFERROR(INDEX(Cuentas!$C$8:$C$500,MATCH(A421&amp;"|"&amp;E421,Cuentas!$A$8:$A$500&amp;"|"&amp;Cuentas!$B$8:$B$500,0)),"")</f>
        <v>0</v>
      </c>
      <c r="G421" s="54"/>
      <c r="H421" s="82"/>
      <c r="I421" s="82"/>
      <c r="J421" s="54"/>
      <c r="K421" s="54"/>
    </row>
    <row r="422" customFormat="false" ht="18" hidden="false" customHeight="true" outlineLevel="0" collapsed="false">
      <c r="A422" s="55"/>
      <c r="B422" s="55"/>
      <c r="C422" s="77"/>
      <c r="D422" s="67" t="str">
        <f aca="false">IF(C422="","",MONTH(C422))</f>
        <v/>
      </c>
      <c r="E422" s="55"/>
      <c r="F422" s="55" t="n">
        <f aca="false">IFERROR(INDEX(Cuentas!$C$8:$C$500,MATCH(A422&amp;"|"&amp;E422,Cuentas!$A$8:$A$500&amp;"|"&amp;Cuentas!$B$8:$B$500,0)),"")</f>
        <v>0</v>
      </c>
      <c r="G422" s="55"/>
      <c r="H422" s="83"/>
      <c r="I422" s="83"/>
      <c r="J422" s="55"/>
      <c r="K422" s="55"/>
    </row>
    <row r="423" customFormat="false" ht="18" hidden="false" customHeight="true" outlineLevel="0" collapsed="false">
      <c r="A423" s="54"/>
      <c r="B423" s="54"/>
      <c r="C423" s="80"/>
      <c r="D423" s="69" t="str">
        <f aca="false">IF(C423="","",MONTH(C423))</f>
        <v/>
      </c>
      <c r="E423" s="54"/>
      <c r="F423" s="54" t="n">
        <f aca="false">IFERROR(INDEX(Cuentas!$C$8:$C$500,MATCH(A423&amp;"|"&amp;E423,Cuentas!$A$8:$A$500&amp;"|"&amp;Cuentas!$B$8:$B$500,0)),"")</f>
        <v>0</v>
      </c>
      <c r="G423" s="54"/>
      <c r="H423" s="82"/>
      <c r="I423" s="82"/>
      <c r="J423" s="54"/>
      <c r="K423" s="54"/>
    </row>
    <row r="424" customFormat="false" ht="18" hidden="false" customHeight="true" outlineLevel="0" collapsed="false">
      <c r="A424" s="55"/>
      <c r="B424" s="55"/>
      <c r="C424" s="77"/>
      <c r="D424" s="67" t="str">
        <f aca="false">IF(C424="","",MONTH(C424))</f>
        <v/>
      </c>
      <c r="E424" s="55"/>
      <c r="F424" s="55" t="n">
        <f aca="false">IFERROR(INDEX(Cuentas!$C$8:$C$500,MATCH(A424&amp;"|"&amp;E424,Cuentas!$A$8:$A$500&amp;"|"&amp;Cuentas!$B$8:$B$500,0)),"")</f>
        <v>0</v>
      </c>
      <c r="G424" s="55"/>
      <c r="H424" s="83"/>
      <c r="I424" s="83"/>
      <c r="J424" s="55"/>
      <c r="K424" s="55"/>
    </row>
    <row r="425" customFormat="false" ht="18" hidden="false" customHeight="true" outlineLevel="0" collapsed="false">
      <c r="A425" s="54"/>
      <c r="B425" s="54"/>
      <c r="C425" s="80"/>
      <c r="D425" s="69" t="str">
        <f aca="false">IF(C425="","",MONTH(C425))</f>
        <v/>
      </c>
      <c r="E425" s="54"/>
      <c r="F425" s="54" t="n">
        <f aca="false">IFERROR(INDEX(Cuentas!$C$8:$C$500,MATCH(A425&amp;"|"&amp;E425,Cuentas!$A$8:$A$500&amp;"|"&amp;Cuentas!$B$8:$B$500,0)),"")</f>
        <v>0</v>
      </c>
      <c r="G425" s="54"/>
      <c r="H425" s="82"/>
      <c r="I425" s="82"/>
      <c r="J425" s="54"/>
      <c r="K425" s="54"/>
    </row>
    <row r="426" customFormat="false" ht="18" hidden="false" customHeight="true" outlineLevel="0" collapsed="false">
      <c r="A426" s="55"/>
      <c r="B426" s="55"/>
      <c r="C426" s="77"/>
      <c r="D426" s="67" t="str">
        <f aca="false">IF(C426="","",MONTH(C426))</f>
        <v/>
      </c>
      <c r="E426" s="55"/>
      <c r="F426" s="55" t="n">
        <f aca="false">IFERROR(INDEX(Cuentas!$C$8:$C$500,MATCH(A426&amp;"|"&amp;E426,Cuentas!$A$8:$A$500&amp;"|"&amp;Cuentas!$B$8:$B$500,0)),"")</f>
        <v>0</v>
      </c>
      <c r="G426" s="55"/>
      <c r="H426" s="83"/>
      <c r="I426" s="83"/>
      <c r="J426" s="55"/>
      <c r="K426" s="55"/>
    </row>
    <row r="427" customFormat="false" ht="18" hidden="false" customHeight="true" outlineLevel="0" collapsed="false">
      <c r="A427" s="54"/>
      <c r="B427" s="54"/>
      <c r="C427" s="80"/>
      <c r="D427" s="69" t="str">
        <f aca="false">IF(C427="","",MONTH(C427))</f>
        <v/>
      </c>
      <c r="E427" s="54"/>
      <c r="F427" s="54" t="n">
        <f aca="false">IFERROR(INDEX(Cuentas!$C$8:$C$500,MATCH(A427&amp;"|"&amp;E427,Cuentas!$A$8:$A$500&amp;"|"&amp;Cuentas!$B$8:$B$500,0)),"")</f>
        <v>0</v>
      </c>
      <c r="G427" s="54"/>
      <c r="H427" s="82"/>
      <c r="I427" s="82"/>
      <c r="J427" s="54"/>
      <c r="K427" s="54"/>
    </row>
    <row r="428" customFormat="false" ht="18" hidden="false" customHeight="true" outlineLevel="0" collapsed="false">
      <c r="A428" s="55"/>
      <c r="B428" s="55"/>
      <c r="C428" s="77"/>
      <c r="D428" s="67" t="str">
        <f aca="false">IF(C428="","",MONTH(C428))</f>
        <v/>
      </c>
      <c r="E428" s="55"/>
      <c r="F428" s="55" t="n">
        <f aca="false">IFERROR(INDEX(Cuentas!$C$8:$C$500,MATCH(A428&amp;"|"&amp;E428,Cuentas!$A$8:$A$500&amp;"|"&amp;Cuentas!$B$8:$B$500,0)),"")</f>
        <v>0</v>
      </c>
      <c r="G428" s="55"/>
      <c r="H428" s="83"/>
      <c r="I428" s="83"/>
      <c r="J428" s="55"/>
      <c r="K428" s="55"/>
    </row>
    <row r="429" customFormat="false" ht="18" hidden="false" customHeight="true" outlineLevel="0" collapsed="false">
      <c r="A429" s="54"/>
      <c r="B429" s="54"/>
      <c r="C429" s="80"/>
      <c r="D429" s="69" t="str">
        <f aca="false">IF(C429="","",MONTH(C429))</f>
        <v/>
      </c>
      <c r="E429" s="54"/>
      <c r="F429" s="54" t="n">
        <f aca="false">IFERROR(INDEX(Cuentas!$C$8:$C$500,MATCH(A429&amp;"|"&amp;E429,Cuentas!$A$8:$A$500&amp;"|"&amp;Cuentas!$B$8:$B$500,0)),"")</f>
        <v>0</v>
      </c>
      <c r="G429" s="54"/>
      <c r="H429" s="82"/>
      <c r="I429" s="82"/>
      <c r="J429" s="54"/>
      <c r="K429" s="54"/>
    </row>
    <row r="430" customFormat="false" ht="18" hidden="false" customHeight="true" outlineLevel="0" collapsed="false">
      <c r="A430" s="55"/>
      <c r="B430" s="55"/>
      <c r="C430" s="77"/>
      <c r="D430" s="67" t="str">
        <f aca="false">IF(C430="","",MONTH(C430))</f>
        <v/>
      </c>
      <c r="E430" s="55"/>
      <c r="F430" s="55" t="n">
        <f aca="false">IFERROR(INDEX(Cuentas!$C$8:$C$500,MATCH(A430&amp;"|"&amp;E430,Cuentas!$A$8:$A$500&amp;"|"&amp;Cuentas!$B$8:$B$500,0)),"")</f>
        <v>0</v>
      </c>
      <c r="G430" s="55"/>
      <c r="H430" s="83"/>
      <c r="I430" s="83"/>
      <c r="J430" s="55"/>
      <c r="K430" s="55"/>
    </row>
    <row r="431" customFormat="false" ht="18" hidden="false" customHeight="true" outlineLevel="0" collapsed="false">
      <c r="A431" s="54"/>
      <c r="B431" s="54"/>
      <c r="C431" s="80"/>
      <c r="D431" s="69" t="str">
        <f aca="false">IF(C431="","",MONTH(C431))</f>
        <v/>
      </c>
      <c r="E431" s="54"/>
      <c r="F431" s="54" t="n">
        <f aca="false">IFERROR(INDEX(Cuentas!$C$8:$C$500,MATCH(A431&amp;"|"&amp;E431,Cuentas!$A$8:$A$500&amp;"|"&amp;Cuentas!$B$8:$B$500,0)),"")</f>
        <v>0</v>
      </c>
      <c r="G431" s="54"/>
      <c r="H431" s="82"/>
      <c r="I431" s="82"/>
      <c r="J431" s="54"/>
      <c r="K431" s="54"/>
    </row>
    <row r="432" customFormat="false" ht="18" hidden="false" customHeight="true" outlineLevel="0" collapsed="false">
      <c r="A432" s="55"/>
      <c r="B432" s="55"/>
      <c r="C432" s="77"/>
      <c r="D432" s="67" t="str">
        <f aca="false">IF(C432="","",MONTH(C432))</f>
        <v/>
      </c>
      <c r="E432" s="55"/>
      <c r="F432" s="55" t="n">
        <f aca="false">IFERROR(INDEX(Cuentas!$C$8:$C$500,MATCH(A432&amp;"|"&amp;E432,Cuentas!$A$8:$A$500&amp;"|"&amp;Cuentas!$B$8:$B$500,0)),"")</f>
        <v>0</v>
      </c>
      <c r="G432" s="55"/>
      <c r="H432" s="83"/>
      <c r="I432" s="83"/>
      <c r="J432" s="55"/>
      <c r="K432" s="55"/>
    </row>
    <row r="433" customFormat="false" ht="18" hidden="false" customHeight="true" outlineLevel="0" collapsed="false">
      <c r="A433" s="54"/>
      <c r="B433" s="54"/>
      <c r="C433" s="80"/>
      <c r="D433" s="69" t="str">
        <f aca="false">IF(C433="","",MONTH(C433))</f>
        <v/>
      </c>
      <c r="E433" s="54"/>
      <c r="F433" s="54" t="n">
        <f aca="false">IFERROR(INDEX(Cuentas!$C$8:$C$500,MATCH(A433&amp;"|"&amp;E433,Cuentas!$A$8:$A$500&amp;"|"&amp;Cuentas!$B$8:$B$500,0)),"")</f>
        <v>0</v>
      </c>
      <c r="G433" s="54"/>
      <c r="H433" s="82"/>
      <c r="I433" s="82"/>
      <c r="J433" s="54"/>
      <c r="K433" s="54"/>
    </row>
    <row r="434" customFormat="false" ht="18" hidden="false" customHeight="true" outlineLevel="0" collapsed="false">
      <c r="A434" s="55"/>
      <c r="B434" s="55"/>
      <c r="C434" s="77"/>
      <c r="D434" s="67" t="str">
        <f aca="false">IF(C434="","",MONTH(C434))</f>
        <v/>
      </c>
      <c r="E434" s="55"/>
      <c r="F434" s="55" t="n">
        <f aca="false">IFERROR(INDEX(Cuentas!$C$8:$C$500,MATCH(A434&amp;"|"&amp;E434,Cuentas!$A$8:$A$500&amp;"|"&amp;Cuentas!$B$8:$B$500,0)),"")</f>
        <v>0</v>
      </c>
      <c r="G434" s="55"/>
      <c r="H434" s="83"/>
      <c r="I434" s="83"/>
      <c r="J434" s="55"/>
      <c r="K434" s="55"/>
    </row>
    <row r="435" customFormat="false" ht="18" hidden="false" customHeight="true" outlineLevel="0" collapsed="false">
      <c r="A435" s="54"/>
      <c r="B435" s="54"/>
      <c r="C435" s="80"/>
      <c r="D435" s="69" t="str">
        <f aca="false">IF(C435="","",MONTH(C435))</f>
        <v/>
      </c>
      <c r="E435" s="54"/>
      <c r="F435" s="54" t="n">
        <f aca="false">IFERROR(INDEX(Cuentas!$C$8:$C$500,MATCH(A435&amp;"|"&amp;E435,Cuentas!$A$8:$A$500&amp;"|"&amp;Cuentas!$B$8:$B$500,0)),"")</f>
        <v>0</v>
      </c>
      <c r="G435" s="54"/>
      <c r="H435" s="82"/>
      <c r="I435" s="82"/>
      <c r="J435" s="54"/>
      <c r="K435" s="54"/>
    </row>
    <row r="436" customFormat="false" ht="18" hidden="false" customHeight="true" outlineLevel="0" collapsed="false">
      <c r="A436" s="55"/>
      <c r="B436" s="55"/>
      <c r="C436" s="77"/>
      <c r="D436" s="67" t="str">
        <f aca="false">IF(C436="","",MONTH(C436))</f>
        <v/>
      </c>
      <c r="E436" s="55"/>
      <c r="F436" s="55" t="n">
        <f aca="false">IFERROR(INDEX(Cuentas!$C$8:$C$500,MATCH(A436&amp;"|"&amp;E436,Cuentas!$A$8:$A$500&amp;"|"&amp;Cuentas!$B$8:$B$500,0)),"")</f>
        <v>0</v>
      </c>
      <c r="G436" s="55"/>
      <c r="H436" s="83"/>
      <c r="I436" s="83"/>
      <c r="J436" s="55"/>
      <c r="K436" s="55"/>
    </row>
    <row r="437" customFormat="false" ht="18" hidden="false" customHeight="true" outlineLevel="0" collapsed="false">
      <c r="A437" s="54"/>
      <c r="B437" s="54"/>
      <c r="C437" s="80"/>
      <c r="D437" s="69" t="str">
        <f aca="false">IF(C437="","",MONTH(C437))</f>
        <v/>
      </c>
      <c r="E437" s="54"/>
      <c r="F437" s="54" t="n">
        <f aca="false">IFERROR(INDEX(Cuentas!$C$8:$C$500,MATCH(A437&amp;"|"&amp;E437,Cuentas!$A$8:$A$500&amp;"|"&amp;Cuentas!$B$8:$B$500,0)),"")</f>
        <v>0</v>
      </c>
      <c r="G437" s="54"/>
      <c r="H437" s="82"/>
      <c r="I437" s="82"/>
      <c r="J437" s="54"/>
      <c r="K437" s="54"/>
    </row>
    <row r="438" customFormat="false" ht="18" hidden="false" customHeight="true" outlineLevel="0" collapsed="false">
      <c r="A438" s="55"/>
      <c r="B438" s="55"/>
      <c r="C438" s="77"/>
      <c r="D438" s="67" t="str">
        <f aca="false">IF(C438="","",MONTH(C438))</f>
        <v/>
      </c>
      <c r="E438" s="55"/>
      <c r="F438" s="55" t="n">
        <f aca="false">IFERROR(INDEX(Cuentas!$C$8:$C$500,MATCH(A438&amp;"|"&amp;E438,Cuentas!$A$8:$A$500&amp;"|"&amp;Cuentas!$B$8:$B$500,0)),"")</f>
        <v>0</v>
      </c>
      <c r="G438" s="55"/>
      <c r="H438" s="83"/>
      <c r="I438" s="83"/>
      <c r="J438" s="55"/>
      <c r="K438" s="55"/>
    </row>
    <row r="439" customFormat="false" ht="18" hidden="false" customHeight="true" outlineLevel="0" collapsed="false">
      <c r="A439" s="54"/>
      <c r="B439" s="54"/>
      <c r="C439" s="80"/>
      <c r="D439" s="69" t="str">
        <f aca="false">IF(C439="","",MONTH(C439))</f>
        <v/>
      </c>
      <c r="E439" s="54"/>
      <c r="F439" s="54" t="n">
        <f aca="false">IFERROR(INDEX(Cuentas!$C$8:$C$500,MATCH(A439&amp;"|"&amp;E439,Cuentas!$A$8:$A$500&amp;"|"&amp;Cuentas!$B$8:$B$500,0)),"")</f>
        <v>0</v>
      </c>
      <c r="G439" s="54"/>
      <c r="H439" s="82"/>
      <c r="I439" s="82"/>
      <c r="J439" s="54"/>
      <c r="K439" s="54"/>
    </row>
    <row r="440" customFormat="false" ht="18" hidden="false" customHeight="true" outlineLevel="0" collapsed="false">
      <c r="A440" s="55"/>
      <c r="B440" s="55"/>
      <c r="C440" s="77"/>
      <c r="D440" s="67" t="str">
        <f aca="false">IF(C440="","",MONTH(C440))</f>
        <v/>
      </c>
      <c r="E440" s="55"/>
      <c r="F440" s="55" t="n">
        <f aca="false">IFERROR(INDEX(Cuentas!$C$8:$C$500,MATCH(A440&amp;"|"&amp;E440,Cuentas!$A$8:$A$500&amp;"|"&amp;Cuentas!$B$8:$B$500,0)),"")</f>
        <v>0</v>
      </c>
      <c r="G440" s="55"/>
      <c r="H440" s="83"/>
      <c r="I440" s="83"/>
      <c r="J440" s="55"/>
      <c r="K440" s="55"/>
    </row>
    <row r="441" customFormat="false" ht="18" hidden="false" customHeight="true" outlineLevel="0" collapsed="false">
      <c r="A441" s="54"/>
      <c r="B441" s="54"/>
      <c r="C441" s="80"/>
      <c r="D441" s="69" t="str">
        <f aca="false">IF(C441="","",MONTH(C441))</f>
        <v/>
      </c>
      <c r="E441" s="54"/>
      <c r="F441" s="54" t="n">
        <f aca="false">IFERROR(INDEX(Cuentas!$C$8:$C$500,MATCH(A441&amp;"|"&amp;E441,Cuentas!$A$8:$A$500&amp;"|"&amp;Cuentas!$B$8:$B$500,0)),"")</f>
        <v>0</v>
      </c>
      <c r="G441" s="54"/>
      <c r="H441" s="82"/>
      <c r="I441" s="82"/>
      <c r="J441" s="54"/>
      <c r="K441" s="54"/>
    </row>
    <row r="442" customFormat="false" ht="18" hidden="false" customHeight="true" outlineLevel="0" collapsed="false">
      <c r="A442" s="55"/>
      <c r="B442" s="55"/>
      <c r="C442" s="77"/>
      <c r="D442" s="67" t="str">
        <f aca="false">IF(C442="","",MONTH(C442))</f>
        <v/>
      </c>
      <c r="E442" s="55"/>
      <c r="F442" s="55" t="n">
        <f aca="false">IFERROR(INDEX(Cuentas!$C$8:$C$500,MATCH(A442&amp;"|"&amp;E442,Cuentas!$A$8:$A$500&amp;"|"&amp;Cuentas!$B$8:$B$500,0)),"")</f>
        <v>0</v>
      </c>
      <c r="G442" s="55"/>
      <c r="H442" s="83"/>
      <c r="I442" s="83"/>
      <c r="J442" s="55"/>
      <c r="K442" s="55"/>
    </row>
    <row r="443" customFormat="false" ht="18" hidden="false" customHeight="true" outlineLevel="0" collapsed="false">
      <c r="A443" s="54"/>
      <c r="B443" s="54"/>
      <c r="C443" s="80"/>
      <c r="D443" s="69" t="str">
        <f aca="false">IF(C443="","",MONTH(C443))</f>
        <v/>
      </c>
      <c r="E443" s="54"/>
      <c r="F443" s="54" t="n">
        <f aca="false">IFERROR(INDEX(Cuentas!$C$8:$C$500,MATCH(A443&amp;"|"&amp;E443,Cuentas!$A$8:$A$500&amp;"|"&amp;Cuentas!$B$8:$B$500,0)),"")</f>
        <v>0</v>
      </c>
      <c r="G443" s="54"/>
      <c r="H443" s="82"/>
      <c r="I443" s="82"/>
      <c r="J443" s="54"/>
      <c r="K443" s="54"/>
    </row>
    <row r="444" customFormat="false" ht="18" hidden="false" customHeight="true" outlineLevel="0" collapsed="false">
      <c r="A444" s="55"/>
      <c r="B444" s="55"/>
      <c r="C444" s="77"/>
      <c r="D444" s="67" t="str">
        <f aca="false">IF(C444="","",MONTH(C444))</f>
        <v/>
      </c>
      <c r="E444" s="55"/>
      <c r="F444" s="55" t="n">
        <f aca="false">IFERROR(INDEX(Cuentas!$C$8:$C$500,MATCH(A444&amp;"|"&amp;E444,Cuentas!$A$8:$A$500&amp;"|"&amp;Cuentas!$B$8:$B$500,0)),"")</f>
        <v>0</v>
      </c>
      <c r="G444" s="55"/>
      <c r="H444" s="83"/>
      <c r="I444" s="83"/>
      <c r="J444" s="55"/>
      <c r="K444" s="55"/>
    </row>
    <row r="445" customFormat="false" ht="18" hidden="false" customHeight="true" outlineLevel="0" collapsed="false">
      <c r="A445" s="54"/>
      <c r="B445" s="54"/>
      <c r="C445" s="80"/>
      <c r="D445" s="69" t="str">
        <f aca="false">IF(C445="","",MONTH(C445))</f>
        <v/>
      </c>
      <c r="E445" s="54"/>
      <c r="F445" s="54" t="n">
        <f aca="false">IFERROR(INDEX(Cuentas!$C$8:$C$500,MATCH(A445&amp;"|"&amp;E445,Cuentas!$A$8:$A$500&amp;"|"&amp;Cuentas!$B$8:$B$500,0)),"")</f>
        <v>0</v>
      </c>
      <c r="G445" s="54"/>
      <c r="H445" s="82"/>
      <c r="I445" s="82"/>
      <c r="J445" s="54"/>
      <c r="K445" s="54"/>
    </row>
    <row r="446" customFormat="false" ht="18" hidden="false" customHeight="true" outlineLevel="0" collapsed="false">
      <c r="A446" s="55"/>
      <c r="B446" s="55"/>
      <c r="C446" s="77"/>
      <c r="D446" s="67" t="str">
        <f aca="false">IF(C446="","",MONTH(C446))</f>
        <v/>
      </c>
      <c r="E446" s="55"/>
      <c r="F446" s="55" t="n">
        <f aca="false">IFERROR(INDEX(Cuentas!$C$8:$C$500,MATCH(A446&amp;"|"&amp;E446,Cuentas!$A$8:$A$500&amp;"|"&amp;Cuentas!$B$8:$B$500,0)),"")</f>
        <v>0</v>
      </c>
      <c r="G446" s="55"/>
      <c r="H446" s="83"/>
      <c r="I446" s="83"/>
      <c r="J446" s="55"/>
      <c r="K446" s="55"/>
    </row>
    <row r="447" customFormat="false" ht="18" hidden="false" customHeight="true" outlineLevel="0" collapsed="false">
      <c r="A447" s="54"/>
      <c r="B447" s="54"/>
      <c r="C447" s="80"/>
      <c r="D447" s="69" t="str">
        <f aca="false">IF(C447="","",MONTH(C447))</f>
        <v/>
      </c>
      <c r="E447" s="54"/>
      <c r="F447" s="54" t="n">
        <f aca="false">IFERROR(INDEX(Cuentas!$C$8:$C$500,MATCH(A447&amp;"|"&amp;E447,Cuentas!$A$8:$A$500&amp;"|"&amp;Cuentas!$B$8:$B$500,0)),"")</f>
        <v>0</v>
      </c>
      <c r="G447" s="54"/>
      <c r="H447" s="82"/>
      <c r="I447" s="82"/>
      <c r="J447" s="54"/>
      <c r="K447" s="54"/>
    </row>
    <row r="448" customFormat="false" ht="18" hidden="false" customHeight="true" outlineLevel="0" collapsed="false">
      <c r="A448" s="55"/>
      <c r="B448" s="55"/>
      <c r="C448" s="77"/>
      <c r="D448" s="67" t="str">
        <f aca="false">IF(C448="","",MONTH(C448))</f>
        <v/>
      </c>
      <c r="E448" s="55"/>
      <c r="F448" s="55" t="n">
        <f aca="false">IFERROR(INDEX(Cuentas!$C$8:$C$500,MATCH(A448&amp;"|"&amp;E448,Cuentas!$A$8:$A$500&amp;"|"&amp;Cuentas!$B$8:$B$500,0)),"")</f>
        <v>0</v>
      </c>
      <c r="G448" s="55"/>
      <c r="H448" s="83"/>
      <c r="I448" s="83"/>
      <c r="J448" s="55"/>
      <c r="K448" s="55"/>
    </row>
    <row r="449" customFormat="false" ht="18" hidden="false" customHeight="true" outlineLevel="0" collapsed="false">
      <c r="A449" s="54"/>
      <c r="B449" s="54"/>
      <c r="C449" s="80"/>
      <c r="D449" s="69" t="str">
        <f aca="false">IF(C449="","",MONTH(C449))</f>
        <v/>
      </c>
      <c r="E449" s="54"/>
      <c r="F449" s="54" t="n">
        <f aca="false">IFERROR(INDEX(Cuentas!$C$8:$C$500,MATCH(A449&amp;"|"&amp;E449,Cuentas!$A$8:$A$500&amp;"|"&amp;Cuentas!$B$8:$B$500,0)),"")</f>
        <v>0</v>
      </c>
      <c r="G449" s="54"/>
      <c r="H449" s="82"/>
      <c r="I449" s="82"/>
      <c r="J449" s="54"/>
      <c r="K449" s="54"/>
    </row>
    <row r="450" customFormat="false" ht="18" hidden="false" customHeight="true" outlineLevel="0" collapsed="false">
      <c r="A450" s="55"/>
      <c r="B450" s="55"/>
      <c r="C450" s="77"/>
      <c r="D450" s="67" t="str">
        <f aca="false">IF(C450="","",MONTH(C450))</f>
        <v/>
      </c>
      <c r="E450" s="55"/>
      <c r="F450" s="55" t="n">
        <f aca="false">IFERROR(INDEX(Cuentas!$C$8:$C$500,MATCH(A450&amp;"|"&amp;E450,Cuentas!$A$8:$A$500&amp;"|"&amp;Cuentas!$B$8:$B$500,0)),"")</f>
        <v>0</v>
      </c>
      <c r="G450" s="55"/>
      <c r="H450" s="83"/>
      <c r="I450" s="83"/>
      <c r="J450" s="55"/>
      <c r="K450" s="55"/>
    </row>
    <row r="451" customFormat="false" ht="18" hidden="false" customHeight="true" outlineLevel="0" collapsed="false">
      <c r="A451" s="54"/>
      <c r="B451" s="54"/>
      <c r="C451" s="80"/>
      <c r="D451" s="69" t="str">
        <f aca="false">IF(C451="","",MONTH(C451))</f>
        <v/>
      </c>
      <c r="E451" s="54"/>
      <c r="F451" s="54" t="n">
        <f aca="false">IFERROR(INDEX(Cuentas!$C$8:$C$500,MATCH(A451&amp;"|"&amp;E451,Cuentas!$A$8:$A$500&amp;"|"&amp;Cuentas!$B$8:$B$500,0)),"")</f>
        <v>0</v>
      </c>
      <c r="G451" s="54"/>
      <c r="H451" s="82"/>
      <c r="I451" s="82"/>
      <c r="J451" s="54"/>
      <c r="K451" s="54"/>
    </row>
    <row r="452" customFormat="false" ht="18" hidden="false" customHeight="true" outlineLevel="0" collapsed="false">
      <c r="A452" s="55"/>
      <c r="B452" s="55"/>
      <c r="C452" s="77"/>
      <c r="D452" s="67" t="str">
        <f aca="false">IF(C452="","",MONTH(C452))</f>
        <v/>
      </c>
      <c r="E452" s="55"/>
      <c r="F452" s="55" t="n">
        <f aca="false">IFERROR(INDEX(Cuentas!$C$8:$C$500,MATCH(A452&amp;"|"&amp;E452,Cuentas!$A$8:$A$500&amp;"|"&amp;Cuentas!$B$8:$B$500,0)),"")</f>
        <v>0</v>
      </c>
      <c r="G452" s="55"/>
      <c r="H452" s="83"/>
      <c r="I452" s="83"/>
      <c r="J452" s="55"/>
      <c r="K452" s="55"/>
    </row>
    <row r="453" customFormat="false" ht="18" hidden="false" customHeight="true" outlineLevel="0" collapsed="false">
      <c r="A453" s="54"/>
      <c r="B453" s="54"/>
      <c r="C453" s="80"/>
      <c r="D453" s="69" t="str">
        <f aca="false">IF(C453="","",MONTH(C453))</f>
        <v/>
      </c>
      <c r="E453" s="54"/>
      <c r="F453" s="54" t="n">
        <f aca="false">IFERROR(INDEX(Cuentas!$C$8:$C$500,MATCH(A453&amp;"|"&amp;E453,Cuentas!$A$8:$A$500&amp;"|"&amp;Cuentas!$B$8:$B$500,0)),"")</f>
        <v>0</v>
      </c>
      <c r="G453" s="54"/>
      <c r="H453" s="82"/>
      <c r="I453" s="82"/>
      <c r="J453" s="54"/>
      <c r="K453" s="54"/>
    </row>
    <row r="454" customFormat="false" ht="18" hidden="false" customHeight="true" outlineLevel="0" collapsed="false">
      <c r="A454" s="55"/>
      <c r="B454" s="55"/>
      <c r="C454" s="77"/>
      <c r="D454" s="67" t="str">
        <f aca="false">IF(C454="","",MONTH(C454))</f>
        <v/>
      </c>
      <c r="E454" s="55"/>
      <c r="F454" s="55" t="n">
        <f aca="false">IFERROR(INDEX(Cuentas!$C$8:$C$500,MATCH(A454&amp;"|"&amp;E454,Cuentas!$A$8:$A$500&amp;"|"&amp;Cuentas!$B$8:$B$500,0)),"")</f>
        <v>0</v>
      </c>
      <c r="G454" s="55"/>
      <c r="H454" s="83"/>
      <c r="I454" s="83"/>
      <c r="J454" s="55"/>
      <c r="K454" s="55"/>
    </row>
    <row r="455" customFormat="false" ht="18" hidden="false" customHeight="true" outlineLevel="0" collapsed="false">
      <c r="A455" s="54"/>
      <c r="B455" s="54"/>
      <c r="C455" s="80"/>
      <c r="D455" s="69" t="str">
        <f aca="false">IF(C455="","",MONTH(C455))</f>
        <v/>
      </c>
      <c r="E455" s="54"/>
      <c r="F455" s="54" t="n">
        <f aca="false">IFERROR(INDEX(Cuentas!$C$8:$C$500,MATCH(A455&amp;"|"&amp;E455,Cuentas!$A$8:$A$500&amp;"|"&amp;Cuentas!$B$8:$B$500,0)),"")</f>
        <v>0</v>
      </c>
      <c r="G455" s="54"/>
      <c r="H455" s="82"/>
      <c r="I455" s="82"/>
      <c r="J455" s="54"/>
      <c r="K455" s="54"/>
    </row>
    <row r="456" customFormat="false" ht="18" hidden="false" customHeight="true" outlineLevel="0" collapsed="false">
      <c r="A456" s="55"/>
      <c r="B456" s="55"/>
      <c r="C456" s="77"/>
      <c r="D456" s="67" t="str">
        <f aca="false">IF(C456="","",MONTH(C456))</f>
        <v/>
      </c>
      <c r="E456" s="55"/>
      <c r="F456" s="55" t="n">
        <f aca="false">IFERROR(INDEX(Cuentas!$C$8:$C$500,MATCH(A456&amp;"|"&amp;E456,Cuentas!$A$8:$A$500&amp;"|"&amp;Cuentas!$B$8:$B$500,0)),"")</f>
        <v>0</v>
      </c>
      <c r="G456" s="55"/>
      <c r="H456" s="83"/>
      <c r="I456" s="83"/>
      <c r="J456" s="55"/>
      <c r="K456" s="55"/>
    </row>
    <row r="457" customFormat="false" ht="18" hidden="false" customHeight="true" outlineLevel="0" collapsed="false">
      <c r="A457" s="54"/>
      <c r="B457" s="54"/>
      <c r="C457" s="80"/>
      <c r="D457" s="69" t="str">
        <f aca="false">IF(C457="","",MONTH(C457))</f>
        <v/>
      </c>
      <c r="E457" s="54"/>
      <c r="F457" s="54" t="n">
        <f aca="false">IFERROR(INDEX(Cuentas!$C$8:$C$500,MATCH(A457&amp;"|"&amp;E457,Cuentas!$A$8:$A$500&amp;"|"&amp;Cuentas!$B$8:$B$500,0)),"")</f>
        <v>0</v>
      </c>
      <c r="G457" s="54"/>
      <c r="H457" s="82"/>
      <c r="I457" s="82"/>
      <c r="J457" s="54"/>
      <c r="K457" s="54"/>
    </row>
    <row r="458" customFormat="false" ht="18" hidden="false" customHeight="true" outlineLevel="0" collapsed="false">
      <c r="A458" s="55"/>
      <c r="B458" s="55"/>
      <c r="C458" s="77"/>
      <c r="D458" s="67" t="str">
        <f aca="false">IF(C458="","",MONTH(C458))</f>
        <v/>
      </c>
      <c r="E458" s="55"/>
      <c r="F458" s="55" t="n">
        <f aca="false">IFERROR(INDEX(Cuentas!$C$8:$C$500,MATCH(A458&amp;"|"&amp;E458,Cuentas!$A$8:$A$500&amp;"|"&amp;Cuentas!$B$8:$B$500,0)),"")</f>
        <v>0</v>
      </c>
      <c r="G458" s="55"/>
      <c r="H458" s="83"/>
      <c r="I458" s="83"/>
      <c r="J458" s="55"/>
      <c r="K458" s="55"/>
    </row>
    <row r="459" customFormat="false" ht="18" hidden="false" customHeight="true" outlineLevel="0" collapsed="false">
      <c r="A459" s="54"/>
      <c r="B459" s="54"/>
      <c r="C459" s="80"/>
      <c r="D459" s="69" t="str">
        <f aca="false">IF(C459="","",MONTH(C459))</f>
        <v/>
      </c>
      <c r="E459" s="54"/>
      <c r="F459" s="54" t="n">
        <f aca="false">IFERROR(INDEX(Cuentas!$C$8:$C$500,MATCH(A459&amp;"|"&amp;E459,Cuentas!$A$8:$A$500&amp;"|"&amp;Cuentas!$B$8:$B$500,0)),"")</f>
        <v>0</v>
      </c>
      <c r="G459" s="54"/>
      <c r="H459" s="82"/>
      <c r="I459" s="82"/>
      <c r="J459" s="54"/>
      <c r="K459" s="54"/>
    </row>
    <row r="460" customFormat="false" ht="18" hidden="false" customHeight="true" outlineLevel="0" collapsed="false">
      <c r="A460" s="55"/>
      <c r="B460" s="55"/>
      <c r="C460" s="77"/>
      <c r="D460" s="67" t="str">
        <f aca="false">IF(C460="","",MONTH(C460))</f>
        <v/>
      </c>
      <c r="E460" s="55"/>
      <c r="F460" s="55" t="n">
        <f aca="false">IFERROR(INDEX(Cuentas!$C$8:$C$500,MATCH(A460&amp;"|"&amp;E460,Cuentas!$A$8:$A$500&amp;"|"&amp;Cuentas!$B$8:$B$500,0)),"")</f>
        <v>0</v>
      </c>
      <c r="G460" s="55"/>
      <c r="H460" s="83"/>
      <c r="I460" s="83"/>
      <c r="J460" s="55"/>
      <c r="K460" s="55"/>
    </row>
    <row r="461" customFormat="false" ht="18" hidden="false" customHeight="true" outlineLevel="0" collapsed="false">
      <c r="A461" s="54"/>
      <c r="B461" s="54"/>
      <c r="C461" s="80"/>
      <c r="D461" s="69" t="str">
        <f aca="false">IF(C461="","",MONTH(C461))</f>
        <v/>
      </c>
      <c r="E461" s="54"/>
      <c r="F461" s="54" t="n">
        <f aca="false">IFERROR(INDEX(Cuentas!$C$8:$C$500,MATCH(A461&amp;"|"&amp;E461,Cuentas!$A$8:$A$500&amp;"|"&amp;Cuentas!$B$8:$B$500,0)),"")</f>
        <v>0</v>
      </c>
      <c r="G461" s="54"/>
      <c r="H461" s="82"/>
      <c r="I461" s="82"/>
      <c r="J461" s="54"/>
      <c r="K461" s="54"/>
    </row>
    <row r="462" customFormat="false" ht="18" hidden="false" customHeight="true" outlineLevel="0" collapsed="false">
      <c r="A462" s="55"/>
      <c r="B462" s="55"/>
      <c r="C462" s="77"/>
      <c r="D462" s="67" t="str">
        <f aca="false">IF(C462="","",MONTH(C462))</f>
        <v/>
      </c>
      <c r="E462" s="55"/>
      <c r="F462" s="55" t="n">
        <f aca="false">IFERROR(INDEX(Cuentas!$C$8:$C$500,MATCH(A462&amp;"|"&amp;E462,Cuentas!$A$8:$A$500&amp;"|"&amp;Cuentas!$B$8:$B$500,0)),"")</f>
        <v>0</v>
      </c>
      <c r="G462" s="55"/>
      <c r="H462" s="83"/>
      <c r="I462" s="83"/>
      <c r="J462" s="55"/>
      <c r="K462" s="55"/>
    </row>
    <row r="463" customFormat="false" ht="18" hidden="false" customHeight="true" outlineLevel="0" collapsed="false">
      <c r="A463" s="54"/>
      <c r="B463" s="54"/>
      <c r="C463" s="80"/>
      <c r="D463" s="69" t="str">
        <f aca="false">IF(C463="","",MONTH(C463))</f>
        <v/>
      </c>
      <c r="E463" s="54"/>
      <c r="F463" s="54" t="n">
        <f aca="false">IFERROR(INDEX(Cuentas!$C$8:$C$500,MATCH(A463&amp;"|"&amp;E463,Cuentas!$A$8:$A$500&amp;"|"&amp;Cuentas!$B$8:$B$500,0)),"")</f>
        <v>0</v>
      </c>
      <c r="G463" s="54"/>
      <c r="H463" s="82"/>
      <c r="I463" s="82"/>
      <c r="J463" s="54"/>
      <c r="K463" s="54"/>
    </row>
    <row r="464" customFormat="false" ht="18" hidden="false" customHeight="true" outlineLevel="0" collapsed="false">
      <c r="A464" s="55"/>
      <c r="B464" s="55"/>
      <c r="C464" s="77"/>
      <c r="D464" s="67" t="str">
        <f aca="false">IF(C464="","",MONTH(C464))</f>
        <v/>
      </c>
      <c r="E464" s="55"/>
      <c r="F464" s="55" t="n">
        <f aca="false">IFERROR(INDEX(Cuentas!$C$8:$C$500,MATCH(A464&amp;"|"&amp;E464,Cuentas!$A$8:$A$500&amp;"|"&amp;Cuentas!$B$8:$B$500,0)),"")</f>
        <v>0</v>
      </c>
      <c r="G464" s="55"/>
      <c r="H464" s="83"/>
      <c r="I464" s="83"/>
      <c r="J464" s="55"/>
      <c r="K464" s="55"/>
    </row>
    <row r="465" customFormat="false" ht="18" hidden="false" customHeight="true" outlineLevel="0" collapsed="false">
      <c r="A465" s="54"/>
      <c r="B465" s="54"/>
      <c r="C465" s="80"/>
      <c r="D465" s="69" t="str">
        <f aca="false">IF(C465="","",MONTH(C465))</f>
        <v/>
      </c>
      <c r="E465" s="54"/>
      <c r="F465" s="54" t="n">
        <f aca="false">IFERROR(INDEX(Cuentas!$C$8:$C$500,MATCH(A465&amp;"|"&amp;E465,Cuentas!$A$8:$A$500&amp;"|"&amp;Cuentas!$B$8:$B$500,0)),"")</f>
        <v>0</v>
      </c>
      <c r="G465" s="54"/>
      <c r="H465" s="82"/>
      <c r="I465" s="82"/>
      <c r="J465" s="54"/>
      <c r="K465" s="54"/>
    </row>
    <row r="466" customFormat="false" ht="18" hidden="false" customHeight="true" outlineLevel="0" collapsed="false">
      <c r="A466" s="55"/>
      <c r="B466" s="55"/>
      <c r="C466" s="77"/>
      <c r="D466" s="67" t="str">
        <f aca="false">IF(C466="","",MONTH(C466))</f>
        <v/>
      </c>
      <c r="E466" s="55"/>
      <c r="F466" s="55" t="n">
        <f aca="false">IFERROR(INDEX(Cuentas!$C$8:$C$500,MATCH(A466&amp;"|"&amp;E466,Cuentas!$A$8:$A$500&amp;"|"&amp;Cuentas!$B$8:$B$500,0)),"")</f>
        <v>0</v>
      </c>
      <c r="G466" s="55"/>
      <c r="H466" s="83"/>
      <c r="I466" s="83"/>
      <c r="J466" s="55"/>
      <c r="K466" s="55"/>
    </row>
    <row r="467" customFormat="false" ht="18" hidden="false" customHeight="true" outlineLevel="0" collapsed="false">
      <c r="A467" s="54"/>
      <c r="B467" s="54"/>
      <c r="C467" s="80"/>
      <c r="D467" s="69" t="str">
        <f aca="false">IF(C467="","",MONTH(C467))</f>
        <v/>
      </c>
      <c r="E467" s="54"/>
      <c r="F467" s="54" t="n">
        <f aca="false">IFERROR(INDEX(Cuentas!$C$8:$C$500,MATCH(A467&amp;"|"&amp;E467,Cuentas!$A$8:$A$500&amp;"|"&amp;Cuentas!$B$8:$B$500,0)),"")</f>
        <v>0</v>
      </c>
      <c r="G467" s="54"/>
      <c r="H467" s="82"/>
      <c r="I467" s="82"/>
      <c r="J467" s="54"/>
      <c r="K467" s="54"/>
    </row>
    <row r="468" customFormat="false" ht="18" hidden="false" customHeight="true" outlineLevel="0" collapsed="false">
      <c r="A468" s="55"/>
      <c r="B468" s="55"/>
      <c r="C468" s="77"/>
      <c r="D468" s="67" t="str">
        <f aca="false">IF(C468="","",MONTH(C468))</f>
        <v/>
      </c>
      <c r="E468" s="55"/>
      <c r="F468" s="55" t="n">
        <f aca="false">IFERROR(INDEX(Cuentas!$C$8:$C$500,MATCH(A468&amp;"|"&amp;E468,Cuentas!$A$8:$A$500&amp;"|"&amp;Cuentas!$B$8:$B$500,0)),"")</f>
        <v>0</v>
      </c>
      <c r="G468" s="55"/>
      <c r="H468" s="83"/>
      <c r="I468" s="83"/>
      <c r="J468" s="55"/>
      <c r="K468" s="55"/>
    </row>
    <row r="469" customFormat="false" ht="18" hidden="false" customHeight="true" outlineLevel="0" collapsed="false">
      <c r="A469" s="54"/>
      <c r="B469" s="54"/>
      <c r="C469" s="80"/>
      <c r="D469" s="69" t="str">
        <f aca="false">IF(C469="","",MONTH(C469))</f>
        <v/>
      </c>
      <c r="E469" s="54"/>
      <c r="F469" s="54" t="n">
        <f aca="false">IFERROR(INDEX(Cuentas!$C$8:$C$500,MATCH(A469&amp;"|"&amp;E469,Cuentas!$A$8:$A$500&amp;"|"&amp;Cuentas!$B$8:$B$500,0)),"")</f>
        <v>0</v>
      </c>
      <c r="G469" s="54"/>
      <c r="H469" s="82"/>
      <c r="I469" s="82"/>
      <c r="J469" s="54"/>
      <c r="K469" s="54"/>
    </row>
    <row r="470" customFormat="false" ht="18" hidden="false" customHeight="true" outlineLevel="0" collapsed="false">
      <c r="A470" s="55"/>
      <c r="B470" s="55"/>
      <c r="C470" s="77"/>
      <c r="D470" s="67" t="str">
        <f aca="false">IF(C470="","",MONTH(C470))</f>
        <v/>
      </c>
      <c r="E470" s="55"/>
      <c r="F470" s="55" t="n">
        <f aca="false">IFERROR(INDEX(Cuentas!$C$8:$C$500,MATCH(A470&amp;"|"&amp;E470,Cuentas!$A$8:$A$500&amp;"|"&amp;Cuentas!$B$8:$B$500,0)),"")</f>
        <v>0</v>
      </c>
      <c r="G470" s="55"/>
      <c r="H470" s="83"/>
      <c r="I470" s="83"/>
      <c r="J470" s="55"/>
      <c r="K470" s="55"/>
    </row>
    <row r="471" customFormat="false" ht="18" hidden="false" customHeight="true" outlineLevel="0" collapsed="false">
      <c r="A471" s="54"/>
      <c r="B471" s="54"/>
      <c r="C471" s="80"/>
      <c r="D471" s="69" t="str">
        <f aca="false">IF(C471="","",MONTH(C471))</f>
        <v/>
      </c>
      <c r="E471" s="54"/>
      <c r="F471" s="54" t="n">
        <f aca="false">IFERROR(INDEX(Cuentas!$C$8:$C$500,MATCH(A471&amp;"|"&amp;E471,Cuentas!$A$8:$A$500&amp;"|"&amp;Cuentas!$B$8:$B$500,0)),"")</f>
        <v>0</v>
      </c>
      <c r="G471" s="54"/>
      <c r="H471" s="82"/>
      <c r="I471" s="82"/>
      <c r="J471" s="54"/>
      <c r="K471" s="54"/>
    </row>
    <row r="472" customFormat="false" ht="18" hidden="false" customHeight="true" outlineLevel="0" collapsed="false">
      <c r="A472" s="55"/>
      <c r="B472" s="55"/>
      <c r="C472" s="77"/>
      <c r="D472" s="67" t="str">
        <f aca="false">IF(C472="","",MONTH(C472))</f>
        <v/>
      </c>
      <c r="E472" s="55"/>
      <c r="F472" s="55" t="n">
        <f aca="false">IFERROR(INDEX(Cuentas!$C$8:$C$500,MATCH(A472&amp;"|"&amp;E472,Cuentas!$A$8:$A$500&amp;"|"&amp;Cuentas!$B$8:$B$500,0)),"")</f>
        <v>0</v>
      </c>
      <c r="G472" s="55"/>
      <c r="H472" s="83"/>
      <c r="I472" s="83"/>
      <c r="J472" s="55"/>
      <c r="K472" s="55"/>
    </row>
    <row r="473" customFormat="false" ht="18" hidden="false" customHeight="true" outlineLevel="0" collapsed="false">
      <c r="A473" s="54"/>
      <c r="B473" s="54"/>
      <c r="C473" s="80"/>
      <c r="D473" s="69" t="str">
        <f aca="false">IF(C473="","",MONTH(C473))</f>
        <v/>
      </c>
      <c r="E473" s="54"/>
      <c r="F473" s="54" t="n">
        <f aca="false">IFERROR(INDEX(Cuentas!$C$8:$C$500,MATCH(A473&amp;"|"&amp;E473,Cuentas!$A$8:$A$500&amp;"|"&amp;Cuentas!$B$8:$B$500,0)),"")</f>
        <v>0</v>
      </c>
      <c r="G473" s="54"/>
      <c r="H473" s="82"/>
      <c r="I473" s="82"/>
      <c r="J473" s="54"/>
      <c r="K473" s="54"/>
    </row>
    <row r="474" customFormat="false" ht="18" hidden="false" customHeight="true" outlineLevel="0" collapsed="false">
      <c r="A474" s="55"/>
      <c r="B474" s="55"/>
      <c r="C474" s="77"/>
      <c r="D474" s="67" t="str">
        <f aca="false">IF(C474="","",MONTH(C474))</f>
        <v/>
      </c>
      <c r="E474" s="55"/>
      <c r="F474" s="55" t="n">
        <f aca="false">IFERROR(INDEX(Cuentas!$C$8:$C$500,MATCH(A474&amp;"|"&amp;E474,Cuentas!$A$8:$A$500&amp;"|"&amp;Cuentas!$B$8:$B$500,0)),"")</f>
        <v>0</v>
      </c>
      <c r="G474" s="55"/>
      <c r="H474" s="83"/>
      <c r="I474" s="83"/>
      <c r="J474" s="55"/>
      <c r="K474" s="55"/>
    </row>
    <row r="475" customFormat="false" ht="18" hidden="false" customHeight="true" outlineLevel="0" collapsed="false">
      <c r="A475" s="54"/>
      <c r="B475" s="54"/>
      <c r="C475" s="80"/>
      <c r="D475" s="69" t="str">
        <f aca="false">IF(C475="","",MONTH(C475))</f>
        <v/>
      </c>
      <c r="E475" s="54"/>
      <c r="F475" s="54" t="n">
        <f aca="false">IFERROR(INDEX(Cuentas!$C$8:$C$500,MATCH(A475&amp;"|"&amp;E475,Cuentas!$A$8:$A$500&amp;"|"&amp;Cuentas!$B$8:$B$500,0)),"")</f>
        <v>0</v>
      </c>
      <c r="G475" s="54"/>
      <c r="H475" s="82"/>
      <c r="I475" s="82"/>
      <c r="J475" s="54"/>
      <c r="K475" s="54"/>
    </row>
    <row r="476" customFormat="false" ht="18" hidden="false" customHeight="true" outlineLevel="0" collapsed="false">
      <c r="A476" s="55"/>
      <c r="B476" s="55"/>
      <c r="C476" s="77"/>
      <c r="D476" s="67" t="str">
        <f aca="false">IF(C476="","",MONTH(C476))</f>
        <v/>
      </c>
      <c r="E476" s="55"/>
      <c r="F476" s="55" t="n">
        <f aca="false">IFERROR(INDEX(Cuentas!$C$8:$C$500,MATCH(A476&amp;"|"&amp;E476,Cuentas!$A$8:$A$500&amp;"|"&amp;Cuentas!$B$8:$B$500,0)),"")</f>
        <v>0</v>
      </c>
      <c r="G476" s="55"/>
      <c r="H476" s="83"/>
      <c r="I476" s="83"/>
      <c r="J476" s="55"/>
      <c r="K476" s="55"/>
    </row>
    <row r="477" customFormat="false" ht="18" hidden="false" customHeight="true" outlineLevel="0" collapsed="false">
      <c r="A477" s="54"/>
      <c r="B477" s="54"/>
      <c r="C477" s="80"/>
      <c r="D477" s="69" t="str">
        <f aca="false">IF(C477="","",MONTH(C477))</f>
        <v/>
      </c>
      <c r="E477" s="54"/>
      <c r="F477" s="54" t="n">
        <f aca="false">IFERROR(INDEX(Cuentas!$C$8:$C$500,MATCH(A477&amp;"|"&amp;E477,Cuentas!$A$8:$A$500&amp;"|"&amp;Cuentas!$B$8:$B$500,0)),"")</f>
        <v>0</v>
      </c>
      <c r="G477" s="54"/>
      <c r="H477" s="82"/>
      <c r="I477" s="82"/>
      <c r="J477" s="54"/>
      <c r="K477" s="54"/>
    </row>
    <row r="478" customFormat="false" ht="18" hidden="false" customHeight="true" outlineLevel="0" collapsed="false">
      <c r="A478" s="55"/>
      <c r="B478" s="55"/>
      <c r="C478" s="77"/>
      <c r="D478" s="67" t="str">
        <f aca="false">IF(C478="","",MONTH(C478))</f>
        <v/>
      </c>
      <c r="E478" s="55"/>
      <c r="F478" s="55" t="n">
        <f aca="false">IFERROR(INDEX(Cuentas!$C$8:$C$500,MATCH(A478&amp;"|"&amp;E478,Cuentas!$A$8:$A$500&amp;"|"&amp;Cuentas!$B$8:$B$500,0)),"")</f>
        <v>0</v>
      </c>
      <c r="G478" s="55"/>
      <c r="H478" s="83"/>
      <c r="I478" s="83"/>
      <c r="J478" s="55"/>
      <c r="K478" s="55"/>
    </row>
    <row r="479" customFormat="false" ht="18" hidden="false" customHeight="true" outlineLevel="0" collapsed="false">
      <c r="A479" s="54"/>
      <c r="B479" s="54"/>
      <c r="C479" s="80"/>
      <c r="D479" s="69" t="str">
        <f aca="false">IF(C479="","",MONTH(C479))</f>
        <v/>
      </c>
      <c r="E479" s="54"/>
      <c r="F479" s="54" t="n">
        <f aca="false">IFERROR(INDEX(Cuentas!$C$8:$C$500,MATCH(A479&amp;"|"&amp;E479,Cuentas!$A$8:$A$500&amp;"|"&amp;Cuentas!$B$8:$B$500,0)),"")</f>
        <v>0</v>
      </c>
      <c r="G479" s="54"/>
      <c r="H479" s="82"/>
      <c r="I479" s="82"/>
      <c r="J479" s="54"/>
      <c r="K479" s="54"/>
    </row>
    <row r="480" customFormat="false" ht="18" hidden="false" customHeight="true" outlineLevel="0" collapsed="false">
      <c r="A480" s="55"/>
      <c r="B480" s="55"/>
      <c r="C480" s="77"/>
      <c r="D480" s="67" t="str">
        <f aca="false">IF(C480="","",MONTH(C480))</f>
        <v/>
      </c>
      <c r="E480" s="55"/>
      <c r="F480" s="55" t="n">
        <f aca="false">IFERROR(INDEX(Cuentas!$C$8:$C$500,MATCH(A480&amp;"|"&amp;E480,Cuentas!$A$8:$A$500&amp;"|"&amp;Cuentas!$B$8:$B$500,0)),"")</f>
        <v>0</v>
      </c>
      <c r="G480" s="55"/>
      <c r="H480" s="83"/>
      <c r="I480" s="83"/>
      <c r="J480" s="55"/>
      <c r="K480" s="55"/>
    </row>
    <row r="481" customFormat="false" ht="18" hidden="false" customHeight="true" outlineLevel="0" collapsed="false">
      <c r="A481" s="54"/>
      <c r="B481" s="54"/>
      <c r="C481" s="80"/>
      <c r="D481" s="69" t="str">
        <f aca="false">IF(C481="","",MONTH(C481))</f>
        <v/>
      </c>
      <c r="E481" s="54"/>
      <c r="F481" s="54" t="n">
        <f aca="false">IFERROR(INDEX(Cuentas!$C$8:$C$500,MATCH(A481&amp;"|"&amp;E481,Cuentas!$A$8:$A$500&amp;"|"&amp;Cuentas!$B$8:$B$500,0)),"")</f>
        <v>0</v>
      </c>
      <c r="G481" s="54"/>
      <c r="H481" s="82"/>
      <c r="I481" s="82"/>
      <c r="J481" s="54"/>
      <c r="K481" s="54"/>
    </row>
    <row r="482" customFormat="false" ht="18" hidden="false" customHeight="true" outlineLevel="0" collapsed="false">
      <c r="A482" s="55"/>
      <c r="B482" s="55"/>
      <c r="C482" s="77"/>
      <c r="D482" s="67" t="str">
        <f aca="false">IF(C482="","",MONTH(C482))</f>
        <v/>
      </c>
      <c r="E482" s="55"/>
      <c r="F482" s="55" t="n">
        <f aca="false">IFERROR(INDEX(Cuentas!$C$8:$C$500,MATCH(A482&amp;"|"&amp;E482,Cuentas!$A$8:$A$500&amp;"|"&amp;Cuentas!$B$8:$B$500,0)),"")</f>
        <v>0</v>
      </c>
      <c r="G482" s="55"/>
      <c r="H482" s="83"/>
      <c r="I482" s="83"/>
      <c r="J482" s="55"/>
      <c r="K482" s="55"/>
    </row>
    <row r="483" customFormat="false" ht="18" hidden="false" customHeight="true" outlineLevel="0" collapsed="false">
      <c r="A483" s="54"/>
      <c r="B483" s="54"/>
      <c r="C483" s="80"/>
      <c r="D483" s="69" t="str">
        <f aca="false">IF(C483="","",MONTH(C483))</f>
        <v/>
      </c>
      <c r="E483" s="54"/>
      <c r="F483" s="54" t="n">
        <f aca="false">IFERROR(INDEX(Cuentas!$C$8:$C$500,MATCH(A483&amp;"|"&amp;E483,Cuentas!$A$8:$A$500&amp;"|"&amp;Cuentas!$B$8:$B$500,0)),"")</f>
        <v>0</v>
      </c>
      <c r="G483" s="54"/>
      <c r="H483" s="82"/>
      <c r="I483" s="82"/>
      <c r="J483" s="54"/>
      <c r="K483" s="54"/>
    </row>
    <row r="484" customFormat="false" ht="18" hidden="false" customHeight="true" outlineLevel="0" collapsed="false">
      <c r="A484" s="55"/>
      <c r="B484" s="55"/>
      <c r="C484" s="77"/>
      <c r="D484" s="67" t="str">
        <f aca="false">IF(C484="","",MONTH(C484))</f>
        <v/>
      </c>
      <c r="E484" s="55"/>
      <c r="F484" s="55" t="n">
        <f aca="false">IFERROR(INDEX(Cuentas!$C$8:$C$500,MATCH(A484&amp;"|"&amp;E484,Cuentas!$A$8:$A$500&amp;"|"&amp;Cuentas!$B$8:$B$500,0)),"")</f>
        <v>0</v>
      </c>
      <c r="G484" s="55"/>
      <c r="H484" s="83"/>
      <c r="I484" s="83"/>
      <c r="J484" s="55"/>
      <c r="K484" s="55"/>
    </row>
    <row r="485" customFormat="false" ht="18" hidden="false" customHeight="true" outlineLevel="0" collapsed="false">
      <c r="A485" s="54"/>
      <c r="B485" s="54"/>
      <c r="C485" s="80"/>
      <c r="D485" s="69" t="str">
        <f aca="false">IF(C485="","",MONTH(C485))</f>
        <v/>
      </c>
      <c r="E485" s="54"/>
      <c r="F485" s="54" t="n">
        <f aca="false">IFERROR(INDEX(Cuentas!$C$8:$C$500,MATCH(A485&amp;"|"&amp;E485,Cuentas!$A$8:$A$500&amp;"|"&amp;Cuentas!$B$8:$B$500,0)),"")</f>
        <v>0</v>
      </c>
      <c r="G485" s="54"/>
      <c r="H485" s="82"/>
      <c r="I485" s="82"/>
      <c r="J485" s="54"/>
      <c r="K485" s="54"/>
    </row>
    <row r="486" customFormat="false" ht="18" hidden="false" customHeight="true" outlineLevel="0" collapsed="false">
      <c r="A486" s="55"/>
      <c r="B486" s="55"/>
      <c r="C486" s="77"/>
      <c r="D486" s="67" t="str">
        <f aca="false">IF(C486="","",MONTH(C486))</f>
        <v/>
      </c>
      <c r="E486" s="55"/>
      <c r="F486" s="55" t="n">
        <f aca="false">IFERROR(INDEX(Cuentas!$C$8:$C$500,MATCH(A486&amp;"|"&amp;E486,Cuentas!$A$8:$A$500&amp;"|"&amp;Cuentas!$B$8:$B$500,0)),"")</f>
        <v>0</v>
      </c>
      <c r="G486" s="55"/>
      <c r="H486" s="83"/>
      <c r="I486" s="83"/>
      <c r="J486" s="55"/>
      <c r="K486" s="55"/>
    </row>
    <row r="487" customFormat="false" ht="18" hidden="false" customHeight="true" outlineLevel="0" collapsed="false">
      <c r="A487" s="54"/>
      <c r="B487" s="54"/>
      <c r="C487" s="80"/>
      <c r="D487" s="69" t="str">
        <f aca="false">IF(C487="","",MONTH(C487))</f>
        <v/>
      </c>
      <c r="E487" s="54"/>
      <c r="F487" s="54" t="n">
        <f aca="false">IFERROR(INDEX(Cuentas!$C$8:$C$500,MATCH(A487&amp;"|"&amp;E487,Cuentas!$A$8:$A$500&amp;"|"&amp;Cuentas!$B$8:$B$500,0)),"")</f>
        <v>0</v>
      </c>
      <c r="G487" s="54"/>
      <c r="H487" s="82"/>
      <c r="I487" s="82"/>
      <c r="J487" s="54"/>
      <c r="K487" s="54"/>
    </row>
    <row r="488" customFormat="false" ht="18" hidden="false" customHeight="true" outlineLevel="0" collapsed="false">
      <c r="A488" s="55"/>
      <c r="B488" s="55"/>
      <c r="C488" s="77"/>
      <c r="D488" s="67" t="str">
        <f aca="false">IF(C488="","",MONTH(C488))</f>
        <v/>
      </c>
      <c r="E488" s="55"/>
      <c r="F488" s="55" t="n">
        <f aca="false">IFERROR(INDEX(Cuentas!$C$8:$C$500,MATCH(A488&amp;"|"&amp;E488,Cuentas!$A$8:$A$500&amp;"|"&amp;Cuentas!$B$8:$B$500,0)),"")</f>
        <v>0</v>
      </c>
      <c r="G488" s="55"/>
      <c r="H488" s="83"/>
      <c r="I488" s="83"/>
      <c r="J488" s="55"/>
      <c r="K488" s="55"/>
    </row>
    <row r="489" customFormat="false" ht="18" hidden="false" customHeight="true" outlineLevel="0" collapsed="false">
      <c r="A489" s="54"/>
      <c r="B489" s="54"/>
      <c r="C489" s="80"/>
      <c r="D489" s="69" t="str">
        <f aca="false">IF(C489="","",MONTH(C489))</f>
        <v/>
      </c>
      <c r="E489" s="54"/>
      <c r="F489" s="54" t="n">
        <f aca="false">IFERROR(INDEX(Cuentas!$C$8:$C$500,MATCH(A489&amp;"|"&amp;E489,Cuentas!$A$8:$A$500&amp;"|"&amp;Cuentas!$B$8:$B$500,0)),"")</f>
        <v>0</v>
      </c>
      <c r="G489" s="54"/>
      <c r="H489" s="82"/>
      <c r="I489" s="82"/>
      <c r="J489" s="54"/>
      <c r="K489" s="54"/>
    </row>
    <row r="490" customFormat="false" ht="18" hidden="false" customHeight="true" outlineLevel="0" collapsed="false">
      <c r="A490" s="55"/>
      <c r="B490" s="55"/>
      <c r="C490" s="77"/>
      <c r="D490" s="67" t="str">
        <f aca="false">IF(C490="","",MONTH(C490))</f>
        <v/>
      </c>
      <c r="E490" s="55"/>
      <c r="F490" s="55" t="n">
        <f aca="false">IFERROR(INDEX(Cuentas!$C$8:$C$500,MATCH(A490&amp;"|"&amp;E490,Cuentas!$A$8:$A$500&amp;"|"&amp;Cuentas!$B$8:$B$500,0)),"")</f>
        <v>0</v>
      </c>
      <c r="G490" s="55"/>
      <c r="H490" s="83"/>
      <c r="I490" s="83"/>
      <c r="J490" s="55"/>
      <c r="K490" s="55"/>
    </row>
    <row r="491" customFormat="false" ht="18" hidden="false" customHeight="true" outlineLevel="0" collapsed="false">
      <c r="A491" s="54"/>
      <c r="B491" s="54"/>
      <c r="C491" s="80"/>
      <c r="D491" s="69" t="str">
        <f aca="false">IF(C491="","",MONTH(C491))</f>
        <v/>
      </c>
      <c r="E491" s="54"/>
      <c r="F491" s="54" t="n">
        <f aca="false">IFERROR(INDEX(Cuentas!$C$8:$C$500,MATCH(A491&amp;"|"&amp;E491,Cuentas!$A$8:$A$500&amp;"|"&amp;Cuentas!$B$8:$B$500,0)),"")</f>
        <v>0</v>
      </c>
      <c r="G491" s="54"/>
      <c r="H491" s="82"/>
      <c r="I491" s="82"/>
      <c r="J491" s="54"/>
      <c r="K491" s="54"/>
    </row>
    <row r="492" customFormat="false" ht="18" hidden="false" customHeight="true" outlineLevel="0" collapsed="false">
      <c r="A492" s="55"/>
      <c r="B492" s="55"/>
      <c r="C492" s="77"/>
      <c r="D492" s="67" t="str">
        <f aca="false">IF(C492="","",MONTH(C492))</f>
        <v/>
      </c>
      <c r="E492" s="55"/>
      <c r="F492" s="55" t="n">
        <f aca="false">IFERROR(INDEX(Cuentas!$C$8:$C$500,MATCH(A492&amp;"|"&amp;E492,Cuentas!$A$8:$A$500&amp;"|"&amp;Cuentas!$B$8:$B$500,0)),"")</f>
        <v>0</v>
      </c>
      <c r="G492" s="55"/>
      <c r="H492" s="83"/>
      <c r="I492" s="83"/>
      <c r="J492" s="55"/>
      <c r="K492" s="55"/>
    </row>
    <row r="493" customFormat="false" ht="18" hidden="false" customHeight="true" outlineLevel="0" collapsed="false">
      <c r="A493" s="54"/>
      <c r="B493" s="54"/>
      <c r="C493" s="80"/>
      <c r="D493" s="69" t="str">
        <f aca="false">IF(C493="","",MONTH(C493))</f>
        <v/>
      </c>
      <c r="E493" s="54"/>
      <c r="F493" s="54" t="n">
        <f aca="false">IFERROR(INDEX(Cuentas!$C$8:$C$500,MATCH(A493&amp;"|"&amp;E493,Cuentas!$A$8:$A$500&amp;"|"&amp;Cuentas!$B$8:$B$500,0)),"")</f>
        <v>0</v>
      </c>
      <c r="G493" s="54"/>
      <c r="H493" s="82"/>
      <c r="I493" s="82"/>
      <c r="J493" s="54"/>
      <c r="K493" s="54"/>
    </row>
    <row r="494" customFormat="false" ht="18" hidden="false" customHeight="true" outlineLevel="0" collapsed="false">
      <c r="A494" s="55"/>
      <c r="B494" s="55"/>
      <c r="C494" s="77"/>
      <c r="D494" s="67" t="str">
        <f aca="false">IF(C494="","",MONTH(C494))</f>
        <v/>
      </c>
      <c r="E494" s="55"/>
      <c r="F494" s="55" t="n">
        <f aca="false">IFERROR(INDEX(Cuentas!$C$8:$C$500,MATCH(A494&amp;"|"&amp;E494,Cuentas!$A$8:$A$500&amp;"|"&amp;Cuentas!$B$8:$B$500,0)),"")</f>
        <v>0</v>
      </c>
      <c r="G494" s="55"/>
      <c r="H494" s="83"/>
      <c r="I494" s="83"/>
      <c r="J494" s="55"/>
      <c r="K494" s="55"/>
    </row>
    <row r="495" customFormat="false" ht="18" hidden="false" customHeight="true" outlineLevel="0" collapsed="false">
      <c r="A495" s="54"/>
      <c r="B495" s="54"/>
      <c r="C495" s="80"/>
      <c r="D495" s="69" t="str">
        <f aca="false">IF(C495="","",MONTH(C495))</f>
        <v/>
      </c>
      <c r="E495" s="54"/>
      <c r="F495" s="54" t="n">
        <f aca="false">IFERROR(INDEX(Cuentas!$C$8:$C$500,MATCH(A495&amp;"|"&amp;E495,Cuentas!$A$8:$A$500&amp;"|"&amp;Cuentas!$B$8:$B$500,0)),"")</f>
        <v>0</v>
      </c>
      <c r="G495" s="54"/>
      <c r="H495" s="82"/>
      <c r="I495" s="82"/>
      <c r="J495" s="54"/>
      <c r="K495" s="54"/>
    </row>
    <row r="496" customFormat="false" ht="18" hidden="false" customHeight="true" outlineLevel="0" collapsed="false">
      <c r="A496" s="55"/>
      <c r="B496" s="55"/>
      <c r="C496" s="77"/>
      <c r="D496" s="67" t="str">
        <f aca="false">IF(C496="","",MONTH(C496))</f>
        <v/>
      </c>
      <c r="E496" s="55"/>
      <c r="F496" s="55" t="n">
        <f aca="false">IFERROR(INDEX(Cuentas!$C$8:$C$500,MATCH(A496&amp;"|"&amp;E496,Cuentas!$A$8:$A$500&amp;"|"&amp;Cuentas!$B$8:$B$500,0)),"")</f>
        <v>0</v>
      </c>
      <c r="G496" s="55"/>
      <c r="H496" s="83"/>
      <c r="I496" s="83"/>
      <c r="J496" s="55"/>
      <c r="K496" s="55"/>
    </row>
    <row r="497" customFormat="false" ht="18" hidden="false" customHeight="true" outlineLevel="0" collapsed="false">
      <c r="A497" s="54"/>
      <c r="B497" s="54"/>
      <c r="C497" s="80"/>
      <c r="D497" s="69" t="str">
        <f aca="false">IF(C497="","",MONTH(C497))</f>
        <v/>
      </c>
      <c r="E497" s="54"/>
      <c r="F497" s="54" t="n">
        <f aca="false">IFERROR(INDEX(Cuentas!$C$8:$C$500,MATCH(A497&amp;"|"&amp;E497,Cuentas!$A$8:$A$500&amp;"|"&amp;Cuentas!$B$8:$B$500,0)),"")</f>
        <v>0</v>
      </c>
      <c r="G497" s="54"/>
      <c r="H497" s="82"/>
      <c r="I497" s="82"/>
      <c r="J497" s="54"/>
      <c r="K497" s="54"/>
    </row>
    <row r="498" customFormat="false" ht="18" hidden="false" customHeight="true" outlineLevel="0" collapsed="false">
      <c r="A498" s="55"/>
      <c r="B498" s="55"/>
      <c r="C498" s="77"/>
      <c r="D498" s="67" t="str">
        <f aca="false">IF(C498="","",MONTH(C498))</f>
        <v/>
      </c>
      <c r="E498" s="55"/>
      <c r="F498" s="55" t="n">
        <f aca="false">IFERROR(INDEX(Cuentas!$C$8:$C$500,MATCH(A498&amp;"|"&amp;E498,Cuentas!$A$8:$A$500&amp;"|"&amp;Cuentas!$B$8:$B$500,0)),"")</f>
        <v>0</v>
      </c>
      <c r="G498" s="55"/>
      <c r="H498" s="83"/>
      <c r="I498" s="83"/>
      <c r="J498" s="55"/>
      <c r="K498" s="55"/>
    </row>
    <row r="499" customFormat="false" ht="18" hidden="false" customHeight="true" outlineLevel="0" collapsed="false">
      <c r="A499" s="54"/>
      <c r="B499" s="54"/>
      <c r="C499" s="80"/>
      <c r="D499" s="69" t="str">
        <f aca="false">IF(C499="","",MONTH(C499))</f>
        <v/>
      </c>
      <c r="E499" s="54"/>
      <c r="F499" s="54" t="n">
        <f aca="false">IFERROR(INDEX(Cuentas!$C$8:$C$500,MATCH(A499&amp;"|"&amp;E499,Cuentas!$A$8:$A$500&amp;"|"&amp;Cuentas!$B$8:$B$500,0)),"")</f>
        <v>0</v>
      </c>
      <c r="G499" s="54"/>
      <c r="H499" s="82"/>
      <c r="I499" s="82"/>
      <c r="J499" s="54"/>
      <c r="K499" s="54"/>
    </row>
    <row r="500" customFormat="false" ht="18" hidden="false" customHeight="true" outlineLevel="0" collapsed="false">
      <c r="A500" s="55"/>
      <c r="B500" s="55"/>
      <c r="C500" s="77"/>
      <c r="D500" s="67" t="str">
        <f aca="false">IF(C500="","",MONTH(C500))</f>
        <v/>
      </c>
      <c r="E500" s="55"/>
      <c r="F500" s="55" t="n">
        <f aca="false">IFERROR(INDEX(Cuentas!$C$8:$C$500,MATCH(A500&amp;"|"&amp;E500,Cuentas!$A$8:$A$500&amp;"|"&amp;Cuentas!$B$8:$B$500,0)),"")</f>
        <v>0</v>
      </c>
      <c r="G500" s="55"/>
      <c r="H500" s="83"/>
      <c r="I500" s="83"/>
      <c r="J500" s="55"/>
      <c r="K500" s="55"/>
    </row>
    <row r="501" customFormat="false" ht="18" hidden="false" customHeight="true" outlineLevel="0" collapsed="false">
      <c r="A501" s="54"/>
      <c r="B501" s="54"/>
      <c r="C501" s="80"/>
      <c r="D501" s="69" t="str">
        <f aca="false">IF(C501="","",MONTH(C501))</f>
        <v/>
      </c>
      <c r="E501" s="54"/>
      <c r="F501" s="54" t="n">
        <f aca="false">IFERROR(INDEX(Cuentas!$C$8:$C$500,MATCH(A501&amp;"|"&amp;E501,Cuentas!$A$8:$A$500&amp;"|"&amp;Cuentas!$B$8:$B$500,0)),"")</f>
        <v>0</v>
      </c>
      <c r="G501" s="54"/>
      <c r="H501" s="82"/>
      <c r="I501" s="82"/>
      <c r="J501" s="54"/>
      <c r="K501" s="54"/>
    </row>
    <row r="502" customFormat="false" ht="18" hidden="false" customHeight="true" outlineLevel="0" collapsed="false">
      <c r="A502" s="55"/>
      <c r="B502" s="55"/>
      <c r="C502" s="77"/>
      <c r="D502" s="67" t="str">
        <f aca="false">IF(C502="","",MONTH(C502))</f>
        <v/>
      </c>
      <c r="E502" s="55"/>
      <c r="F502" s="55" t="n">
        <f aca="false">IFERROR(INDEX(Cuentas!$C$8:$C$500,MATCH(A502&amp;"|"&amp;E502,Cuentas!$A$8:$A$500&amp;"|"&amp;Cuentas!$B$8:$B$500,0)),"")</f>
        <v>0</v>
      </c>
      <c r="G502" s="55"/>
      <c r="H502" s="83"/>
      <c r="I502" s="83"/>
      <c r="J502" s="55"/>
      <c r="K502" s="55"/>
    </row>
    <row r="503" customFormat="false" ht="18" hidden="false" customHeight="true" outlineLevel="0" collapsed="false">
      <c r="A503" s="54"/>
      <c r="B503" s="54"/>
      <c r="C503" s="80"/>
      <c r="D503" s="69" t="str">
        <f aca="false">IF(C503="","",MONTH(C503))</f>
        <v/>
      </c>
      <c r="E503" s="54"/>
      <c r="F503" s="54" t="n">
        <f aca="false">IFERROR(INDEX(Cuentas!$C$8:$C$500,MATCH(A503&amp;"|"&amp;E503,Cuentas!$A$8:$A$500&amp;"|"&amp;Cuentas!$B$8:$B$500,0)),"")</f>
        <v>0</v>
      </c>
      <c r="G503" s="54"/>
      <c r="H503" s="82"/>
      <c r="I503" s="82"/>
      <c r="J503" s="54"/>
      <c r="K503" s="54"/>
    </row>
    <row r="504" customFormat="false" ht="18" hidden="false" customHeight="true" outlineLevel="0" collapsed="false">
      <c r="A504" s="55"/>
      <c r="B504" s="55"/>
      <c r="C504" s="77"/>
      <c r="D504" s="67" t="str">
        <f aca="false">IF(C504="","",MONTH(C504))</f>
        <v/>
      </c>
      <c r="E504" s="55"/>
      <c r="F504" s="55" t="n">
        <f aca="false">IFERROR(INDEX(Cuentas!$C$8:$C$500,MATCH(A504&amp;"|"&amp;E504,Cuentas!$A$8:$A$500&amp;"|"&amp;Cuentas!$B$8:$B$500,0)),"")</f>
        <v>0</v>
      </c>
      <c r="G504" s="55"/>
      <c r="H504" s="83"/>
      <c r="I504" s="83"/>
      <c r="J504" s="55"/>
      <c r="K504" s="55"/>
    </row>
    <row r="505" customFormat="false" ht="18" hidden="false" customHeight="true" outlineLevel="0" collapsed="false">
      <c r="A505" s="54"/>
      <c r="B505" s="54"/>
      <c r="C505" s="80"/>
      <c r="D505" s="69" t="str">
        <f aca="false">IF(C505="","",MONTH(C505))</f>
        <v/>
      </c>
      <c r="E505" s="54"/>
      <c r="F505" s="54" t="n">
        <f aca="false">IFERROR(INDEX(Cuentas!$C$8:$C$500,MATCH(A505&amp;"|"&amp;E505,Cuentas!$A$8:$A$500&amp;"|"&amp;Cuentas!$B$8:$B$500,0)),"")</f>
        <v>0</v>
      </c>
      <c r="G505" s="54"/>
      <c r="H505" s="82"/>
      <c r="I505" s="82"/>
      <c r="J505" s="54"/>
      <c r="K505" s="54"/>
    </row>
    <row r="506" customFormat="false" ht="18" hidden="false" customHeight="true" outlineLevel="0" collapsed="false">
      <c r="A506" s="55"/>
      <c r="B506" s="55"/>
      <c r="C506" s="77"/>
      <c r="D506" s="67" t="str">
        <f aca="false">IF(C506="","",MONTH(C506))</f>
        <v/>
      </c>
      <c r="E506" s="55"/>
      <c r="F506" s="55" t="n">
        <f aca="false">IFERROR(INDEX(Cuentas!$C$8:$C$500,MATCH(A506&amp;"|"&amp;E506,Cuentas!$A$8:$A$500&amp;"|"&amp;Cuentas!$B$8:$B$500,0)),"")</f>
        <v>0</v>
      </c>
      <c r="G506" s="55"/>
      <c r="H506" s="83"/>
      <c r="I506" s="83"/>
      <c r="J506" s="55"/>
      <c r="K506" s="55"/>
    </row>
    <row r="507" customFormat="false" ht="18" hidden="false" customHeight="true" outlineLevel="0" collapsed="false">
      <c r="A507" s="54"/>
      <c r="B507" s="54"/>
      <c r="C507" s="80"/>
      <c r="D507" s="69" t="str">
        <f aca="false">IF(C507="","",MONTH(C507))</f>
        <v/>
      </c>
      <c r="E507" s="54"/>
      <c r="F507" s="54" t="n">
        <f aca="false">IFERROR(INDEX(Cuentas!$C$8:$C$500,MATCH(A507&amp;"|"&amp;E507,Cuentas!$A$8:$A$500&amp;"|"&amp;Cuentas!$B$8:$B$500,0)),"")</f>
        <v>0</v>
      </c>
      <c r="G507" s="54"/>
      <c r="H507" s="82"/>
      <c r="I507" s="82"/>
      <c r="J507" s="54"/>
      <c r="K507" s="54"/>
    </row>
    <row r="508" customFormat="false" ht="18" hidden="false" customHeight="true" outlineLevel="0" collapsed="false">
      <c r="A508" s="55"/>
      <c r="B508" s="55"/>
      <c r="C508" s="77"/>
      <c r="D508" s="67" t="str">
        <f aca="false">IF(C508="","",MONTH(C508))</f>
        <v/>
      </c>
      <c r="E508" s="55"/>
      <c r="F508" s="55" t="n">
        <f aca="false">IFERROR(INDEX(Cuentas!$C$8:$C$500,MATCH(A508&amp;"|"&amp;E508,Cuentas!$A$8:$A$500&amp;"|"&amp;Cuentas!$B$8:$B$500,0)),"")</f>
        <v>0</v>
      </c>
      <c r="G508" s="55"/>
      <c r="H508" s="83"/>
      <c r="I508" s="83"/>
      <c r="J508" s="55"/>
      <c r="K508" s="55"/>
    </row>
    <row r="509" customFormat="false" ht="18" hidden="false" customHeight="true" outlineLevel="0" collapsed="false">
      <c r="A509" s="54"/>
      <c r="B509" s="54"/>
      <c r="C509" s="80"/>
      <c r="D509" s="69" t="str">
        <f aca="false">IF(C509="","",MONTH(C509))</f>
        <v/>
      </c>
      <c r="E509" s="54"/>
      <c r="F509" s="54" t="n">
        <f aca="false">IFERROR(INDEX(Cuentas!$C$8:$C$500,MATCH(A509&amp;"|"&amp;E509,Cuentas!$A$8:$A$500&amp;"|"&amp;Cuentas!$B$8:$B$500,0)),"")</f>
        <v>0</v>
      </c>
      <c r="G509" s="54"/>
      <c r="H509" s="82"/>
      <c r="I509" s="82"/>
      <c r="J509" s="54"/>
      <c r="K509" s="54"/>
    </row>
    <row r="510" customFormat="false" ht="18" hidden="false" customHeight="true" outlineLevel="0" collapsed="false">
      <c r="A510" s="55"/>
      <c r="B510" s="55"/>
      <c r="C510" s="77"/>
      <c r="D510" s="67" t="str">
        <f aca="false">IF(C510="","",MONTH(C510))</f>
        <v/>
      </c>
      <c r="E510" s="55"/>
      <c r="F510" s="55" t="n">
        <f aca="false">IFERROR(INDEX(Cuentas!$C$8:$C$500,MATCH(A510&amp;"|"&amp;E510,Cuentas!$A$8:$A$500&amp;"|"&amp;Cuentas!$B$8:$B$500,0)),"")</f>
        <v>0</v>
      </c>
      <c r="G510" s="55"/>
      <c r="H510" s="83"/>
      <c r="I510" s="83"/>
      <c r="J510" s="55"/>
      <c r="K510" s="55"/>
    </row>
    <row r="511" customFormat="false" ht="18" hidden="false" customHeight="true" outlineLevel="0" collapsed="false">
      <c r="A511" s="54"/>
      <c r="B511" s="54"/>
      <c r="C511" s="80"/>
      <c r="D511" s="69" t="str">
        <f aca="false">IF(C511="","",MONTH(C511))</f>
        <v/>
      </c>
      <c r="E511" s="54"/>
      <c r="F511" s="54" t="n">
        <f aca="false">IFERROR(INDEX(Cuentas!$C$8:$C$500,MATCH(A511&amp;"|"&amp;E511,Cuentas!$A$8:$A$500&amp;"|"&amp;Cuentas!$B$8:$B$500,0)),"")</f>
        <v>0</v>
      </c>
      <c r="G511" s="54"/>
      <c r="H511" s="82"/>
      <c r="I511" s="82"/>
      <c r="J511" s="54"/>
      <c r="K511" s="54"/>
    </row>
    <row r="512" customFormat="false" ht="18" hidden="false" customHeight="true" outlineLevel="0" collapsed="false">
      <c r="A512" s="55"/>
      <c r="B512" s="55"/>
      <c r="C512" s="77"/>
      <c r="D512" s="67" t="str">
        <f aca="false">IF(C512="","",MONTH(C512))</f>
        <v/>
      </c>
      <c r="E512" s="55"/>
      <c r="F512" s="55" t="n">
        <f aca="false">IFERROR(INDEX(Cuentas!$C$8:$C$500,MATCH(A512&amp;"|"&amp;E512,Cuentas!$A$8:$A$500&amp;"|"&amp;Cuentas!$B$8:$B$500,0)),"")</f>
        <v>0</v>
      </c>
      <c r="G512" s="55"/>
      <c r="H512" s="83"/>
      <c r="I512" s="83"/>
      <c r="J512" s="55"/>
      <c r="K512" s="55"/>
    </row>
    <row r="513" customFormat="false" ht="18" hidden="false" customHeight="true" outlineLevel="0" collapsed="false">
      <c r="A513" s="54"/>
      <c r="B513" s="54"/>
      <c r="C513" s="80"/>
      <c r="D513" s="69" t="str">
        <f aca="false">IF(C513="","",MONTH(C513))</f>
        <v/>
      </c>
      <c r="E513" s="54"/>
      <c r="F513" s="54" t="n">
        <f aca="false">IFERROR(INDEX(Cuentas!$C$8:$C$500,MATCH(A513&amp;"|"&amp;E513,Cuentas!$A$8:$A$500&amp;"|"&amp;Cuentas!$B$8:$B$500,0)),"")</f>
        <v>0</v>
      </c>
      <c r="G513" s="54"/>
      <c r="H513" s="82"/>
      <c r="I513" s="82"/>
      <c r="J513" s="54"/>
      <c r="K513" s="54"/>
    </row>
    <row r="514" customFormat="false" ht="18" hidden="false" customHeight="true" outlineLevel="0" collapsed="false">
      <c r="A514" s="55"/>
      <c r="B514" s="55"/>
      <c r="C514" s="77"/>
      <c r="D514" s="67" t="str">
        <f aca="false">IF(C514="","",MONTH(C514))</f>
        <v/>
      </c>
      <c r="E514" s="55"/>
      <c r="F514" s="55" t="n">
        <f aca="false">IFERROR(INDEX(Cuentas!$C$8:$C$500,MATCH(A514&amp;"|"&amp;E514,Cuentas!$A$8:$A$500&amp;"|"&amp;Cuentas!$B$8:$B$500,0)),"")</f>
        <v>0</v>
      </c>
      <c r="G514" s="55"/>
      <c r="H514" s="83"/>
      <c r="I514" s="83"/>
      <c r="J514" s="55"/>
      <c r="K514" s="55"/>
    </row>
    <row r="515" customFormat="false" ht="18" hidden="false" customHeight="true" outlineLevel="0" collapsed="false">
      <c r="A515" s="54"/>
      <c r="B515" s="54"/>
      <c r="C515" s="80"/>
      <c r="D515" s="69" t="str">
        <f aca="false">IF(C515="","",MONTH(C515))</f>
        <v/>
      </c>
      <c r="E515" s="54"/>
      <c r="F515" s="54" t="n">
        <f aca="false">IFERROR(INDEX(Cuentas!$C$8:$C$500,MATCH(A515&amp;"|"&amp;E515,Cuentas!$A$8:$A$500&amp;"|"&amp;Cuentas!$B$8:$B$500,0)),"")</f>
        <v>0</v>
      </c>
      <c r="G515" s="54"/>
      <c r="H515" s="82"/>
      <c r="I515" s="82"/>
      <c r="J515" s="54"/>
      <c r="K515" s="54"/>
    </row>
    <row r="516" customFormat="false" ht="18" hidden="false" customHeight="true" outlineLevel="0" collapsed="false">
      <c r="A516" s="55"/>
      <c r="B516" s="55"/>
      <c r="C516" s="77"/>
      <c r="D516" s="67" t="str">
        <f aca="false">IF(C516="","",MONTH(C516))</f>
        <v/>
      </c>
      <c r="E516" s="55"/>
      <c r="F516" s="55" t="n">
        <f aca="false">IFERROR(INDEX(Cuentas!$C$8:$C$500,MATCH(A516&amp;"|"&amp;E516,Cuentas!$A$8:$A$500&amp;"|"&amp;Cuentas!$B$8:$B$500,0)),"")</f>
        <v>0</v>
      </c>
      <c r="G516" s="55"/>
      <c r="H516" s="83"/>
      <c r="I516" s="83"/>
      <c r="J516" s="55"/>
      <c r="K516" s="55"/>
    </row>
    <row r="517" customFormat="false" ht="18" hidden="false" customHeight="true" outlineLevel="0" collapsed="false">
      <c r="A517" s="54"/>
      <c r="B517" s="54"/>
      <c r="C517" s="80"/>
      <c r="D517" s="69" t="str">
        <f aca="false">IF(C517="","",MONTH(C517))</f>
        <v/>
      </c>
      <c r="E517" s="54"/>
      <c r="F517" s="54" t="n">
        <f aca="false">IFERROR(INDEX(Cuentas!$C$8:$C$500,MATCH(A517&amp;"|"&amp;E517,Cuentas!$A$8:$A$500&amp;"|"&amp;Cuentas!$B$8:$B$500,0)),"")</f>
        <v>0</v>
      </c>
      <c r="G517" s="54"/>
      <c r="H517" s="82"/>
      <c r="I517" s="82"/>
      <c r="J517" s="54"/>
      <c r="K517" s="54"/>
    </row>
  </sheetData>
  <mergeCells count="6">
    <mergeCell ref="A1:K1"/>
    <mergeCell ref="A2:K2"/>
    <mergeCell ref="A3:K3"/>
    <mergeCell ref="A6:G6"/>
    <mergeCell ref="A8:K8"/>
    <mergeCell ref="B8:C8"/>
  </mergeCells>
  <dataValidations count="4">
    <dataValidation allowBlank="true" errorStyle="stop" operator="between" showDropDown="false" showErrorMessage="false" showInputMessage="false" sqref="A6:A9 A100:A518" type="list">
      <formula1>Clientes!$A$4:$A$200</formula1>
      <formula2>0</formula2>
    </dataValidation>
    <dataValidation allowBlank="false" error="Seleccione un cliente válido de la lista en hoja Clientes." errorStyle="stop" errorTitle="Cliente inválido" operator="between" prompt="Seleccione un cliente de la lista" promptTitle="Cliente" showDropDown="false" showErrorMessage="true" showInputMessage="false" sqref="A5" type="list">
      <formula1>Clientes!$A$4:$A$200</formula1>
      <formula2>0</formula2>
    </dataValidation>
    <dataValidation allowBlank="false" error="Use un ID de cliente que exista en la hoja Clientes." errorStyle="stop" errorTitle="Cliente inválido" operator="between" showDropDown="false" showErrorMessage="true" showInputMessage="false" sqref="A10:A99" type="list">
      <formula1>Clientes!$A$4:$A$200</formula1>
      <formula2>0</formula2>
    </dataValidation>
    <dataValidation allowBlank="false" error="Los montos deben ser positivos. Si es un abono, ingrese en la columna Haber." errorStyle="stop" errorTitle="Monto negativo" operator="greaterThanOrEqual" showDropDown="false" showErrorMessage="true" showInputMessage="false" sqref="H10:I99"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I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34"/>
    <col collapsed="false" customWidth="true" hidden="false" outlineLevel="0" max="4" min="3" style="1" width="12"/>
    <col collapsed="false" customWidth="true" hidden="false" outlineLevel="0" max="9" min="5" style="1" width="15"/>
  </cols>
  <sheetData>
    <row r="1" customFormat="false" ht="36" hidden="false" customHeight="true" outlineLevel="0" collapsed="false">
      <c r="A1" s="48" t="s">
        <v>545</v>
      </c>
      <c r="B1" s="48"/>
      <c r="C1" s="48"/>
      <c r="D1" s="48"/>
      <c r="E1" s="48"/>
      <c r="F1" s="48"/>
      <c r="G1" s="48"/>
      <c r="H1" s="48"/>
      <c r="I1" s="48"/>
    </row>
    <row r="2" customFormat="false" ht="27.75" hidden="false" customHeight="true" outlineLevel="0" collapsed="false">
      <c r="A2" s="49" t="s">
        <v>546</v>
      </c>
      <c r="B2" s="49"/>
      <c r="C2" s="49"/>
      <c r="D2" s="49"/>
      <c r="E2" s="49"/>
      <c r="F2" s="49"/>
      <c r="G2" s="49"/>
      <c r="H2" s="49"/>
      <c r="I2" s="49"/>
    </row>
    <row r="3" customFormat="false" ht="21.75" hidden="false" customHeight="true" outlineLevel="0" collapsed="false">
      <c r="A3" s="84" t="s">
        <v>547</v>
      </c>
      <c r="B3" s="84"/>
      <c r="C3" s="84"/>
      <c r="D3" s="84"/>
      <c r="E3" s="84"/>
      <c r="F3" s="84"/>
      <c r="G3" s="84"/>
      <c r="H3" s="84"/>
      <c r="I3" s="84"/>
    </row>
    <row r="4" customFormat="false" ht="25.5" hidden="false" customHeight="true" outlineLevel="0" collapsed="false">
      <c r="A4" s="56" t="s">
        <v>418</v>
      </c>
      <c r="B4" s="85" t="s">
        <v>398</v>
      </c>
      <c r="C4" s="85"/>
      <c r="D4" s="56" t="s">
        <v>548</v>
      </c>
      <c r="E4" s="86" t="n">
        <v>2025</v>
      </c>
      <c r="F4" s="87" t="s">
        <v>549</v>
      </c>
    </row>
    <row r="5" customFormat="false" ht="6" hidden="false" customHeight="true" outlineLevel="0" collapsed="false"/>
    <row r="6" customFormat="false" ht="21.75" hidden="false" customHeight="true" outlineLevel="0" collapsed="false">
      <c r="A6" s="76" t="s">
        <v>542</v>
      </c>
      <c r="B6" s="76" t="s">
        <v>424</v>
      </c>
      <c r="C6" s="76" t="s">
        <v>226</v>
      </c>
      <c r="D6" s="76" t="s">
        <v>550</v>
      </c>
      <c r="E6" s="76" t="s">
        <v>551</v>
      </c>
      <c r="F6" s="76" t="s">
        <v>552</v>
      </c>
      <c r="G6" s="76" t="s">
        <v>553</v>
      </c>
      <c r="H6" s="76" t="s">
        <v>554</v>
      </c>
      <c r="I6" s="76" t="s">
        <v>555</v>
      </c>
    </row>
    <row r="7" customFormat="false" ht="18" hidden="false" customHeight="true" outlineLevel="0" collapsed="false">
      <c r="A7" s="88" t="s">
        <v>556</v>
      </c>
      <c r="B7" s="88"/>
      <c r="C7" s="88"/>
      <c r="D7" s="88"/>
      <c r="E7" s="88"/>
      <c r="F7" s="88"/>
      <c r="G7" s="88"/>
      <c r="H7" s="88"/>
      <c r="I7" s="88"/>
    </row>
    <row r="8" customFormat="false" ht="18" hidden="false" customHeight="true" outlineLevel="0" collapsed="false">
      <c r="A8" s="89" t="n">
        <v>1101001</v>
      </c>
      <c r="B8" s="55" t="str">
        <f aca="false">IFERROR(INDEX(Cuentas!$C$8:$C$500,MATCH($B$4&amp;"|"&amp;A8,Cuentas!$A$8:$A$500&amp;"|"&amp;Cuentas!$B$8:$B$500,0)),"Caja")</f>
        <v>Caja</v>
      </c>
      <c r="C8" s="67" t="str">
        <f aca="false">IFERROR(INDEX(Cuentas!$D$8:$D$500,MATCH($B$4&amp;"|"&amp;A8,Cuentas!$A$8:$A$500&amp;"|"&amp;Cuentas!$B$8:$B$500,0)),"ACTIVO")</f>
        <v>ACTIVO</v>
      </c>
      <c r="D8" s="67" t="str">
        <f aca="false">IF(OR(C8="ACTIVO",C8="PERDIDA"),"Deudor","Acreedor")</f>
        <v>Deudor</v>
      </c>
      <c r="E8" s="90" t="n">
        <f aca="false">SUMPRODUCT(('Libro Diario'!$A$10:$A$5000=$B$4)*('Libro Diario'!$E$10:$E$5000=A8)*(YEAR('Libro Diario'!$C$10:$C$5000)=$E$4)*('Libro Diario'!$H$10:$H$5000))</f>
        <v>0</v>
      </c>
      <c r="F8" s="90" t="n">
        <f aca="false">SUMPRODUCT(('Libro Diario'!$A$10:$A$5000=$B$4)*('Libro Diario'!$E$10:$E$5000=A8)*(YEAR('Libro Diario'!$C$10:$C$5000)=$E$4)*('Libro Diario'!$I$10:$I$5000))</f>
        <v>0</v>
      </c>
      <c r="G8" s="90" t="str">
        <f aca="false">IF(E8&gt;F8,E8-F8,"")</f>
        <v/>
      </c>
      <c r="H8" s="90" t="str">
        <f aca="false">IF(F8&gt;E8,F8-E8,"")</f>
        <v/>
      </c>
      <c r="I8" s="91" t="n">
        <f aca="false">IF(OR(C8="ACTIVO",C8="PERDIDA"),E8-F8,F8-E8)</f>
        <v>0</v>
      </c>
    </row>
    <row r="9" customFormat="false" ht="18" hidden="false" customHeight="true" outlineLevel="0" collapsed="false">
      <c r="A9" s="92" t="n">
        <v>1101002</v>
      </c>
      <c r="B9" s="54" t="str">
        <f aca="false">IFERROR(INDEX(Cuentas!$C$8:$C$500,MATCH($B$4&amp;"|"&amp;A9,Cuentas!$A$8:$A$500&amp;"|"&amp;Cuentas!$B$8:$B$500,0)),"Bancos")</f>
        <v>Bancos</v>
      </c>
      <c r="C9" s="69" t="str">
        <f aca="false">IFERROR(INDEX(Cuentas!$D$8:$D$500,MATCH($B$4&amp;"|"&amp;A9,Cuentas!$A$8:$A$500&amp;"|"&amp;Cuentas!$B$8:$B$500,0)),"ACTIVO")</f>
        <v>ACTIVO</v>
      </c>
      <c r="D9" s="69" t="str">
        <f aca="false">IF(OR(C9="ACTIVO",C9="PERDIDA"),"Deudor","Acreedor")</f>
        <v>Deudor</v>
      </c>
      <c r="E9" s="93" t="n">
        <f aca="false">SUMPRODUCT(('Libro Diario'!$A$10:$A$5000=$B$4)*('Libro Diario'!$E$10:$E$5000=A9)*(YEAR('Libro Diario'!$C$10:$C$5000)=$E$4)*('Libro Diario'!$H$10:$H$5000))</f>
        <v>0</v>
      </c>
      <c r="F9" s="93" t="n">
        <f aca="false">SUMPRODUCT(('Libro Diario'!$A$10:$A$5000=$B$4)*('Libro Diario'!$E$10:$E$5000=A9)*(YEAR('Libro Diario'!$C$10:$C$5000)=$E$4)*('Libro Diario'!$I$10:$I$5000))</f>
        <v>0</v>
      </c>
      <c r="G9" s="93" t="str">
        <f aca="false">IF(E9&gt;F9,E9-F9,"")</f>
        <v/>
      </c>
      <c r="H9" s="93" t="str">
        <f aca="false">IF(F9&gt;E9,F9-E9,"")</f>
        <v/>
      </c>
      <c r="I9" s="94" t="n">
        <f aca="false">IF(OR(C9="ACTIVO",C9="PERDIDA"),E9-F9,F9-E9)</f>
        <v>0</v>
      </c>
    </row>
    <row r="10" customFormat="false" ht="18" hidden="false" customHeight="true" outlineLevel="0" collapsed="false">
      <c r="A10" s="89" t="n">
        <v>1104001</v>
      </c>
      <c r="B10" s="55" t="str">
        <f aca="false">IFERROR(INDEX(Cuentas!$C$8:$C$500,MATCH($B$4&amp;"|"&amp;A10,Cuentas!$A$8:$A$500&amp;"|"&amp;Cuentas!$B$8:$B$500,0)),"Clientes Varios")</f>
        <v>Clientes Varios</v>
      </c>
      <c r="C10" s="67" t="str">
        <f aca="false">IFERROR(INDEX(Cuentas!$D$8:$D$500,MATCH($B$4&amp;"|"&amp;A10,Cuentas!$A$8:$A$500&amp;"|"&amp;Cuentas!$B$8:$B$500,0)),"ACTIVO")</f>
        <v>ACTIVO</v>
      </c>
      <c r="D10" s="67" t="str">
        <f aca="false">IF(OR(C10="ACTIVO",C10="PERDIDA"),"Deudor","Acreedor")</f>
        <v>Deudor</v>
      </c>
      <c r="E10" s="90" t="n">
        <f aca="false">SUMPRODUCT(('Libro Diario'!$A$10:$A$5000=$B$4)*('Libro Diario'!$E$10:$E$5000=A10)*(YEAR('Libro Diario'!$C$10:$C$5000)=$E$4)*('Libro Diario'!$H$10:$H$5000))</f>
        <v>0</v>
      </c>
      <c r="F10" s="90" t="n">
        <f aca="false">SUMPRODUCT(('Libro Diario'!$A$10:$A$5000=$B$4)*('Libro Diario'!$E$10:$E$5000=A10)*(YEAR('Libro Diario'!$C$10:$C$5000)=$E$4)*('Libro Diario'!$I$10:$I$5000))</f>
        <v>0</v>
      </c>
      <c r="G10" s="90" t="str">
        <f aca="false">IF(E10&gt;F10,E10-F10,"")</f>
        <v/>
      </c>
      <c r="H10" s="90" t="str">
        <f aca="false">IF(F10&gt;E10,F10-E10,"")</f>
        <v/>
      </c>
      <c r="I10" s="91" t="n">
        <f aca="false">IF(OR(C10="ACTIVO",C10="PERDIDA"),E10-F10,F10-E10)</f>
        <v>0</v>
      </c>
    </row>
    <row r="11" customFormat="false" ht="18" hidden="false" customHeight="true" outlineLevel="0" collapsed="false">
      <c r="A11" s="92" t="n">
        <v>1106001</v>
      </c>
      <c r="B11" s="54" t="str">
        <f aca="false">IFERROR(INDEX(Cuentas!$C$8:$C$500,MATCH($B$4&amp;"|"&amp;A11,Cuentas!$A$8:$A$500&amp;"|"&amp;Cuentas!$B$8:$B$500,0)),"Retiros Acumulados-Ej. Anteriores.")</f>
        <v>Retiros Acumulados-Ej. Anteriores.</v>
      </c>
      <c r="C11" s="69" t="str">
        <f aca="false">IFERROR(INDEX(Cuentas!$D$8:$D$500,MATCH($B$4&amp;"|"&amp;A11,Cuentas!$A$8:$A$500&amp;"|"&amp;Cuentas!$B$8:$B$500,0)),"ACTIVO")</f>
        <v>ACTIVO</v>
      </c>
      <c r="D11" s="69" t="str">
        <f aca="false">IF(OR(C11="ACTIVO",C11="PERDIDA"),"Deudor","Acreedor")</f>
        <v>Deudor</v>
      </c>
      <c r="E11" s="93" t="n">
        <f aca="false">SUMPRODUCT(('Libro Diario'!$A$10:$A$5000=$B$4)*('Libro Diario'!$E$10:$E$5000=A11)*(YEAR('Libro Diario'!$C$10:$C$5000)=$E$4)*('Libro Diario'!$H$10:$H$5000))</f>
        <v>0</v>
      </c>
      <c r="F11" s="93" t="n">
        <f aca="false">SUMPRODUCT(('Libro Diario'!$A$10:$A$5000=$B$4)*('Libro Diario'!$E$10:$E$5000=A11)*(YEAR('Libro Diario'!$C$10:$C$5000)=$E$4)*('Libro Diario'!$I$10:$I$5000))</f>
        <v>0</v>
      </c>
      <c r="G11" s="93" t="str">
        <f aca="false">IF(E11&gt;F11,E11-F11,"")</f>
        <v/>
      </c>
      <c r="H11" s="93" t="str">
        <f aca="false">IF(F11&gt;E11,F11-E11,"")</f>
        <v/>
      </c>
      <c r="I11" s="94" t="n">
        <f aca="false">IF(OR(C11="ACTIVO",C11="PERDIDA"),E11-F11,F11-E11)</f>
        <v>0</v>
      </c>
    </row>
    <row r="12" customFormat="false" ht="18" hidden="false" customHeight="true" outlineLevel="0" collapsed="false">
      <c r="A12" s="89" t="n">
        <v>1106002</v>
      </c>
      <c r="B12" s="55" t="str">
        <f aca="false">IFERROR(INDEX(Cuentas!$C$8:$C$500,MATCH($B$4&amp;"|"&amp;A12,Cuentas!$A$8:$A$500&amp;"|"&amp;Cuentas!$B$8:$B$500,0)),"Cta. Cte. SOCIO")</f>
        <v>Cta. Cte. SOCIO</v>
      </c>
      <c r="C12" s="67" t="str">
        <f aca="false">IFERROR(INDEX(Cuentas!$D$8:$D$500,MATCH($B$4&amp;"|"&amp;A12,Cuentas!$A$8:$A$500&amp;"|"&amp;Cuentas!$B$8:$B$500,0)),"ACTIVO")</f>
        <v>ACTIVO</v>
      </c>
      <c r="D12" s="67" t="str">
        <f aca="false">IF(OR(C12="ACTIVO",C12="PERDIDA"),"Deudor","Acreedor")</f>
        <v>Deudor</v>
      </c>
      <c r="E12" s="90" t="n">
        <f aca="false">SUMPRODUCT(('Libro Diario'!$A$10:$A$5000=$B$4)*('Libro Diario'!$E$10:$E$5000=A12)*(YEAR('Libro Diario'!$C$10:$C$5000)=$E$4)*('Libro Diario'!$H$10:$H$5000))</f>
        <v>0</v>
      </c>
      <c r="F12" s="90" t="n">
        <f aca="false">SUMPRODUCT(('Libro Diario'!$A$10:$A$5000=$B$4)*('Libro Diario'!$E$10:$E$5000=A12)*(YEAR('Libro Diario'!$C$10:$C$5000)=$E$4)*('Libro Diario'!$I$10:$I$5000))</f>
        <v>0</v>
      </c>
      <c r="G12" s="90" t="str">
        <f aca="false">IF(E12&gt;F12,E12-F12,"")</f>
        <v/>
      </c>
      <c r="H12" s="90" t="str">
        <f aca="false">IF(F12&gt;E12,F12-E12,"")</f>
        <v/>
      </c>
      <c r="I12" s="91" t="n">
        <f aca="false">IF(OR(C12="ACTIVO",C12="PERDIDA"),E12-F12,F12-E12)</f>
        <v>0</v>
      </c>
    </row>
    <row r="13" customFormat="false" ht="18" hidden="false" customHeight="true" outlineLevel="0" collapsed="false">
      <c r="A13" s="92" t="n">
        <v>1106003</v>
      </c>
      <c r="B13" s="54" t="str">
        <f aca="false">IFERROR(INDEX(Cuentas!$C$8:$C$500,MATCH($B$4&amp;"|"&amp;A13,Cuentas!$A$8:$A$500&amp;"|"&amp;Cuentas!$B$8:$B$500,0)),"Cta. Cte. SOCIO")</f>
        <v>Cta. Cte. SOCIO</v>
      </c>
      <c r="C13" s="69" t="str">
        <f aca="false">IFERROR(INDEX(Cuentas!$D$8:$D$500,MATCH($B$4&amp;"|"&amp;A13,Cuentas!$A$8:$A$500&amp;"|"&amp;Cuentas!$B$8:$B$500,0)),"ACTIVO")</f>
        <v>ACTIVO</v>
      </c>
      <c r="D13" s="69" t="str">
        <f aca="false">IF(OR(C13="ACTIVO",C13="PERDIDA"),"Deudor","Acreedor")</f>
        <v>Deudor</v>
      </c>
      <c r="E13" s="93" t="n">
        <f aca="false">SUMPRODUCT(('Libro Diario'!$A$10:$A$5000=$B$4)*('Libro Diario'!$E$10:$E$5000=A13)*(YEAR('Libro Diario'!$C$10:$C$5000)=$E$4)*('Libro Diario'!$H$10:$H$5000))</f>
        <v>0</v>
      </c>
      <c r="F13" s="93" t="n">
        <f aca="false">SUMPRODUCT(('Libro Diario'!$A$10:$A$5000=$B$4)*('Libro Diario'!$E$10:$E$5000=A13)*(YEAR('Libro Diario'!$C$10:$C$5000)=$E$4)*('Libro Diario'!$I$10:$I$5000))</f>
        <v>0</v>
      </c>
      <c r="G13" s="93" t="str">
        <f aca="false">IF(E13&gt;F13,E13-F13,"")</f>
        <v/>
      </c>
      <c r="H13" s="93" t="str">
        <f aca="false">IF(F13&gt;E13,F13-E13,"")</f>
        <v/>
      </c>
      <c r="I13" s="94" t="n">
        <f aca="false">IF(OR(C13="ACTIVO",C13="PERDIDA"),E13-F13,F13-E13)</f>
        <v>0</v>
      </c>
    </row>
    <row r="14" customFormat="false" ht="18" hidden="false" customHeight="true" outlineLevel="0" collapsed="false">
      <c r="A14" s="89" t="n">
        <v>1106004</v>
      </c>
      <c r="B14" s="55" t="str">
        <f aca="false">IFERROR(INDEX(Cuentas!$C$8:$C$500,MATCH($B$4&amp;"|"&amp;A14,Cuentas!$A$8:$A$500&amp;"|"&amp;Cuentas!$B$8:$B$500,0)),"Cta. Cte. SOCIO")</f>
        <v>Cta. Cte. SOCIO</v>
      </c>
      <c r="C14" s="67" t="str">
        <f aca="false">IFERROR(INDEX(Cuentas!$D$8:$D$500,MATCH($B$4&amp;"|"&amp;A14,Cuentas!$A$8:$A$500&amp;"|"&amp;Cuentas!$B$8:$B$500,0)),"ACTIVO")</f>
        <v>ACTIVO</v>
      </c>
      <c r="D14" s="67" t="str">
        <f aca="false">IF(OR(C14="ACTIVO",C14="PERDIDA"),"Deudor","Acreedor")</f>
        <v>Deudor</v>
      </c>
      <c r="E14" s="90" t="n">
        <f aca="false">SUMPRODUCT(('Libro Diario'!$A$10:$A$5000=$B$4)*('Libro Diario'!$E$10:$E$5000=A14)*(YEAR('Libro Diario'!$C$10:$C$5000)=$E$4)*('Libro Diario'!$H$10:$H$5000))</f>
        <v>0</v>
      </c>
      <c r="F14" s="90" t="n">
        <f aca="false">SUMPRODUCT(('Libro Diario'!$A$10:$A$5000=$B$4)*('Libro Diario'!$E$10:$E$5000=A14)*(YEAR('Libro Diario'!$C$10:$C$5000)=$E$4)*('Libro Diario'!$I$10:$I$5000))</f>
        <v>0</v>
      </c>
      <c r="G14" s="90" t="str">
        <f aca="false">IF(E14&gt;F14,E14-F14,"")</f>
        <v/>
      </c>
      <c r="H14" s="90" t="str">
        <f aca="false">IF(F14&gt;E14,F14-E14,"")</f>
        <v/>
      </c>
      <c r="I14" s="91" t="n">
        <f aca="false">IF(OR(C14="ACTIVO",C14="PERDIDA"),E14-F14,F14-E14)</f>
        <v>0</v>
      </c>
    </row>
    <row r="15" customFormat="false" ht="18" hidden="false" customHeight="true" outlineLevel="0" collapsed="false">
      <c r="A15" s="92" t="n">
        <v>1107001</v>
      </c>
      <c r="B15" s="54" t="str">
        <f aca="false">IFERROR(INDEX(Cuentas!$C$8:$C$500,MATCH($B$4&amp;"|"&amp;A15,Cuentas!$A$8:$A$500&amp;"|"&amp;Cuentas!$B$8:$B$500,0)),"Impuestos por Recuperar - Renta")</f>
        <v>Impuestos por Recuperar - Renta</v>
      </c>
      <c r="C15" s="69" t="str">
        <f aca="false">IFERROR(INDEX(Cuentas!$D$8:$D$500,MATCH($B$4&amp;"|"&amp;A15,Cuentas!$A$8:$A$500&amp;"|"&amp;Cuentas!$B$8:$B$500,0)),"ACTIVO")</f>
        <v>ACTIVO</v>
      </c>
      <c r="D15" s="69" t="str">
        <f aca="false">IF(OR(C15="ACTIVO",C15="PERDIDA"),"Deudor","Acreedor")</f>
        <v>Deudor</v>
      </c>
      <c r="E15" s="93" t="n">
        <f aca="false">SUMPRODUCT(('Libro Diario'!$A$10:$A$5000=$B$4)*('Libro Diario'!$E$10:$E$5000=A15)*(YEAR('Libro Diario'!$C$10:$C$5000)=$E$4)*('Libro Diario'!$H$10:$H$5000))</f>
        <v>0</v>
      </c>
      <c r="F15" s="93" t="n">
        <f aca="false">SUMPRODUCT(('Libro Diario'!$A$10:$A$5000=$B$4)*('Libro Diario'!$E$10:$E$5000=A15)*(YEAR('Libro Diario'!$C$10:$C$5000)=$E$4)*('Libro Diario'!$I$10:$I$5000))</f>
        <v>0</v>
      </c>
      <c r="G15" s="93" t="str">
        <f aca="false">IF(E15&gt;F15,E15-F15,"")</f>
        <v/>
      </c>
      <c r="H15" s="93" t="str">
        <f aca="false">IF(F15&gt;E15,F15-E15,"")</f>
        <v/>
      </c>
      <c r="I15" s="94" t="n">
        <f aca="false">IF(OR(C15="ACTIVO",C15="PERDIDA"),E15-F15,F15-E15)</f>
        <v>0</v>
      </c>
    </row>
    <row r="16" customFormat="false" ht="18" hidden="false" customHeight="true" outlineLevel="0" collapsed="false">
      <c r="A16" s="89" t="n">
        <v>1107002</v>
      </c>
      <c r="B16" s="55" t="str">
        <f aca="false">IFERROR(INDEX(Cuentas!$C$8:$C$500,MATCH($B$4&amp;"|"&amp;A16,Cuentas!$A$8:$A$500&amp;"|"&amp;Cuentas!$B$8:$B$500,0)),"Impuestos por Recuperar - IVA")</f>
        <v>Impuestos por Recuperar - IVA</v>
      </c>
      <c r="C16" s="67" t="str">
        <f aca="false">IFERROR(INDEX(Cuentas!$D$8:$D$500,MATCH($B$4&amp;"|"&amp;A16,Cuentas!$A$8:$A$500&amp;"|"&amp;Cuentas!$B$8:$B$500,0)),"ACTIVO")</f>
        <v>ACTIVO</v>
      </c>
      <c r="D16" s="67" t="str">
        <f aca="false">IF(OR(C16="ACTIVO",C16="PERDIDA"),"Deudor","Acreedor")</f>
        <v>Deudor</v>
      </c>
      <c r="E16" s="90" t="n">
        <f aca="false">SUMPRODUCT(('Libro Diario'!$A$10:$A$5000=$B$4)*('Libro Diario'!$E$10:$E$5000=A16)*(YEAR('Libro Diario'!$C$10:$C$5000)=$E$4)*('Libro Diario'!$H$10:$H$5000))</f>
        <v>0</v>
      </c>
      <c r="F16" s="90" t="n">
        <f aca="false">SUMPRODUCT(('Libro Diario'!$A$10:$A$5000=$B$4)*('Libro Diario'!$E$10:$E$5000=A16)*(YEAR('Libro Diario'!$C$10:$C$5000)=$E$4)*('Libro Diario'!$I$10:$I$5000))</f>
        <v>0</v>
      </c>
      <c r="G16" s="90" t="str">
        <f aca="false">IF(E16&gt;F16,E16-F16,"")</f>
        <v/>
      </c>
      <c r="H16" s="90" t="str">
        <f aca="false">IF(F16&gt;E16,F16-E16,"")</f>
        <v/>
      </c>
      <c r="I16" s="91" t="n">
        <f aca="false">IF(OR(C16="ACTIVO",C16="PERDIDA"),E16-F16,F16-E16)</f>
        <v>0</v>
      </c>
    </row>
    <row r="17" customFormat="false" ht="18" hidden="false" customHeight="true" outlineLevel="0" collapsed="false">
      <c r="A17" s="92" t="n">
        <v>1107003</v>
      </c>
      <c r="B17" s="54" t="str">
        <f aca="false">IFERROR(INDEX(Cuentas!$C$8:$C$500,MATCH($B$4&amp;"|"&amp;A17,Cuentas!$A$8:$A$500&amp;"|"&amp;Cuentas!$B$8:$B$500,0)),"Imposiciones por Recuperar")</f>
        <v>Imposiciones por Recuperar</v>
      </c>
      <c r="C17" s="69" t="str">
        <f aca="false">IFERROR(INDEX(Cuentas!$D$8:$D$500,MATCH($B$4&amp;"|"&amp;A17,Cuentas!$A$8:$A$500&amp;"|"&amp;Cuentas!$B$8:$B$500,0)),"ACTIVO")</f>
        <v>ACTIVO</v>
      </c>
      <c r="D17" s="69" t="str">
        <f aca="false">IF(OR(C17="ACTIVO",C17="PERDIDA"),"Deudor","Acreedor")</f>
        <v>Deudor</v>
      </c>
      <c r="E17" s="93" t="n">
        <f aca="false">SUMPRODUCT(('Libro Diario'!$A$10:$A$5000=$B$4)*('Libro Diario'!$E$10:$E$5000=A17)*(YEAR('Libro Diario'!$C$10:$C$5000)=$E$4)*('Libro Diario'!$H$10:$H$5000))</f>
        <v>0</v>
      </c>
      <c r="F17" s="93" t="n">
        <f aca="false">SUMPRODUCT(('Libro Diario'!$A$10:$A$5000=$B$4)*('Libro Diario'!$E$10:$E$5000=A17)*(YEAR('Libro Diario'!$C$10:$C$5000)=$E$4)*('Libro Diario'!$I$10:$I$5000))</f>
        <v>0</v>
      </c>
      <c r="G17" s="93" t="str">
        <f aca="false">IF(E17&gt;F17,E17-F17,"")</f>
        <v/>
      </c>
      <c r="H17" s="93" t="str">
        <f aca="false">IF(F17&gt;E17,F17-E17,"")</f>
        <v/>
      </c>
      <c r="I17" s="94" t="n">
        <f aca="false">IF(OR(C17="ACTIVO",C17="PERDIDA"),E17-F17,F17-E17)</f>
        <v>0</v>
      </c>
    </row>
    <row r="18" customFormat="false" ht="18" hidden="false" customHeight="true" outlineLevel="0" collapsed="false">
      <c r="A18" s="89" t="n">
        <v>1107101</v>
      </c>
      <c r="B18" s="55" t="str">
        <f aca="false">IFERROR(INDEX(Cuentas!$C$8:$C$500,MATCH($B$4&amp;"|"&amp;A18,Cuentas!$A$8:$A$500&amp;"|"&amp;Cuentas!$B$8:$B$500,0)),"IVA Crédito Fiscal 19%")</f>
        <v>IVA Crédito Fiscal 19%</v>
      </c>
      <c r="C18" s="67" t="str">
        <f aca="false">IFERROR(INDEX(Cuentas!$D$8:$D$500,MATCH($B$4&amp;"|"&amp;A18,Cuentas!$A$8:$A$500&amp;"|"&amp;Cuentas!$B$8:$B$500,0)),"ACTIVO")</f>
        <v>ACTIVO</v>
      </c>
      <c r="D18" s="67" t="str">
        <f aca="false">IF(OR(C18="ACTIVO",C18="PERDIDA"),"Deudor","Acreedor")</f>
        <v>Deudor</v>
      </c>
      <c r="E18" s="90" t="n">
        <f aca="false">SUMPRODUCT(('Libro Diario'!$A$10:$A$5000=$B$4)*('Libro Diario'!$E$10:$E$5000=A18)*(YEAR('Libro Diario'!$C$10:$C$5000)=$E$4)*('Libro Diario'!$H$10:$H$5000))</f>
        <v>0</v>
      </c>
      <c r="F18" s="90" t="n">
        <f aca="false">SUMPRODUCT(('Libro Diario'!$A$10:$A$5000=$B$4)*('Libro Diario'!$E$10:$E$5000=A18)*(YEAR('Libro Diario'!$C$10:$C$5000)=$E$4)*('Libro Diario'!$I$10:$I$5000))</f>
        <v>0</v>
      </c>
      <c r="G18" s="90" t="str">
        <f aca="false">IF(E18&gt;F18,E18-F18,"")</f>
        <v/>
      </c>
      <c r="H18" s="90" t="str">
        <f aca="false">IF(F18&gt;E18,F18-E18,"")</f>
        <v/>
      </c>
      <c r="I18" s="91" t="n">
        <f aca="false">IF(OR(C18="ACTIVO",C18="PERDIDA"),E18-F18,F18-E18)</f>
        <v>0</v>
      </c>
    </row>
    <row r="19" customFormat="false" ht="18" hidden="false" customHeight="true" outlineLevel="0" collapsed="false">
      <c r="A19" s="92" t="n">
        <v>1107103</v>
      </c>
      <c r="B19" s="54" t="str">
        <f aca="false">IFERROR(INDEX(Cuentas!$C$8:$C$500,MATCH($B$4&amp;"|"&amp;A19,Cuentas!$A$8:$A$500&amp;"|"&amp;Cuentas!$B$8:$B$500,0)),"IVA Crédito Fiscal no Retenido 11%")</f>
        <v>IVA Crédito Fiscal no Retenido 11%</v>
      </c>
      <c r="C19" s="69" t="str">
        <f aca="false">IFERROR(INDEX(Cuentas!$D$8:$D$500,MATCH($B$4&amp;"|"&amp;A19,Cuentas!$A$8:$A$500&amp;"|"&amp;Cuentas!$B$8:$B$500,0)),"ACTIVO")</f>
        <v>ACTIVO</v>
      </c>
      <c r="D19" s="69" t="str">
        <f aca="false">IF(OR(C19="ACTIVO",C19="PERDIDA"),"Deudor","Acreedor")</f>
        <v>Deudor</v>
      </c>
      <c r="E19" s="93" t="n">
        <f aca="false">SUMPRODUCT(('Libro Diario'!$A$10:$A$5000=$B$4)*('Libro Diario'!$E$10:$E$5000=A19)*(YEAR('Libro Diario'!$C$10:$C$5000)=$E$4)*('Libro Diario'!$H$10:$H$5000))</f>
        <v>0</v>
      </c>
      <c r="F19" s="93" t="n">
        <f aca="false">SUMPRODUCT(('Libro Diario'!$A$10:$A$5000=$B$4)*('Libro Diario'!$E$10:$E$5000=A19)*(YEAR('Libro Diario'!$C$10:$C$5000)=$E$4)*('Libro Diario'!$I$10:$I$5000))</f>
        <v>0</v>
      </c>
      <c r="G19" s="93" t="str">
        <f aca="false">IF(E19&gt;F19,E19-F19,"")</f>
        <v/>
      </c>
      <c r="H19" s="93" t="str">
        <f aca="false">IF(F19&gt;E19,F19-E19,"")</f>
        <v/>
      </c>
      <c r="I19" s="94" t="n">
        <f aca="false">IF(OR(C19="ACTIVO",C19="PERDIDA"),E19-F19,F19-E19)</f>
        <v>0</v>
      </c>
    </row>
    <row r="20" customFormat="false" ht="18" hidden="false" customHeight="true" outlineLevel="0" collapsed="false">
      <c r="A20" s="89" t="n">
        <v>1107201</v>
      </c>
      <c r="B20" s="55" t="str">
        <f aca="false">IFERROR(INDEX(Cuentas!$C$8:$C$500,MATCH($B$4&amp;"|"&amp;A20,Cuentas!$A$8:$A$500&amp;"|"&amp;Cuentas!$B$8:$B$500,0)),"P.P.M.")</f>
        <v>P.P.M.</v>
      </c>
      <c r="C20" s="67" t="str">
        <f aca="false">IFERROR(INDEX(Cuentas!$D$8:$D$500,MATCH($B$4&amp;"|"&amp;A20,Cuentas!$A$8:$A$500&amp;"|"&amp;Cuentas!$B$8:$B$500,0)),"ACTIVO")</f>
        <v>ACTIVO</v>
      </c>
      <c r="D20" s="67" t="str">
        <f aca="false">IF(OR(C20="ACTIVO",C20="PERDIDA"),"Deudor","Acreedor")</f>
        <v>Deudor</v>
      </c>
      <c r="E20" s="90" t="n">
        <f aca="false">SUMPRODUCT(('Libro Diario'!$A$10:$A$5000=$B$4)*('Libro Diario'!$E$10:$E$5000=A20)*(YEAR('Libro Diario'!$C$10:$C$5000)=$E$4)*('Libro Diario'!$H$10:$H$5000))</f>
        <v>0</v>
      </c>
      <c r="F20" s="90" t="n">
        <f aca="false">SUMPRODUCT(('Libro Diario'!$A$10:$A$5000=$B$4)*('Libro Diario'!$E$10:$E$5000=A20)*(YEAR('Libro Diario'!$C$10:$C$5000)=$E$4)*('Libro Diario'!$I$10:$I$5000))</f>
        <v>0</v>
      </c>
      <c r="G20" s="90" t="str">
        <f aca="false">IF(E20&gt;F20,E20-F20,"")</f>
        <v/>
      </c>
      <c r="H20" s="90" t="str">
        <f aca="false">IF(F20&gt;E20,F20-E20,"")</f>
        <v/>
      </c>
      <c r="I20" s="91" t="n">
        <f aca="false">IF(OR(C20="ACTIVO",C20="PERDIDA"),E20-F20,F20-E20)</f>
        <v>0</v>
      </c>
    </row>
    <row r="21" customFormat="false" ht="18" hidden="false" customHeight="true" outlineLevel="0" collapsed="false">
      <c r="A21" s="92" t="n">
        <v>1107301</v>
      </c>
      <c r="B21" s="54" t="str">
        <f aca="false">IFERROR(INDEX(Cuentas!$C$8:$C$500,MATCH($B$4&amp;"|"&amp;A21,Cuentas!$A$8:$A$500&amp;"|"&amp;Cuentas!$B$8:$B$500,0)),"Credito Diessel Transporte Carga")</f>
        <v>Credito Diessel Transporte Carga</v>
      </c>
      <c r="C21" s="69" t="str">
        <f aca="false">IFERROR(INDEX(Cuentas!$D$8:$D$500,MATCH($B$4&amp;"|"&amp;A21,Cuentas!$A$8:$A$500&amp;"|"&amp;Cuentas!$B$8:$B$500,0)),"ACTIVO")</f>
        <v>ACTIVO</v>
      </c>
      <c r="D21" s="69" t="str">
        <f aca="false">IF(OR(C21="ACTIVO",C21="PERDIDA"),"Deudor","Acreedor")</f>
        <v>Deudor</v>
      </c>
      <c r="E21" s="93" t="n">
        <f aca="false">SUMPRODUCT(('Libro Diario'!$A$10:$A$5000=$B$4)*('Libro Diario'!$E$10:$E$5000=A21)*(YEAR('Libro Diario'!$C$10:$C$5000)=$E$4)*('Libro Diario'!$H$10:$H$5000))</f>
        <v>0</v>
      </c>
      <c r="F21" s="93" t="n">
        <f aca="false">SUMPRODUCT(('Libro Diario'!$A$10:$A$5000=$B$4)*('Libro Diario'!$E$10:$E$5000=A21)*(YEAR('Libro Diario'!$C$10:$C$5000)=$E$4)*('Libro Diario'!$I$10:$I$5000))</f>
        <v>0</v>
      </c>
      <c r="G21" s="93" t="str">
        <f aca="false">IF(E21&gt;F21,E21-F21,"")</f>
        <v/>
      </c>
      <c r="H21" s="93" t="str">
        <f aca="false">IF(F21&gt;E21,F21-E21,"")</f>
        <v/>
      </c>
      <c r="I21" s="94" t="n">
        <f aca="false">IF(OR(C21="ACTIVO",C21="PERDIDA"),E21-F21,F21-E21)</f>
        <v>0</v>
      </c>
    </row>
    <row r="22" customFormat="false" ht="18" hidden="false" customHeight="true" outlineLevel="0" collapsed="false">
      <c r="A22" s="89" t="n">
        <v>1107302</v>
      </c>
      <c r="B22" s="55" t="str">
        <f aca="false">IFERROR(INDEX(Cuentas!$C$8:$C$500,MATCH($B$4&amp;"|"&amp;A22,Cuentas!$A$8:$A$500&amp;"|"&amp;Cuentas!$B$8:$B$500,0)),"Art. 33 bis (4%) Activo Fijo")</f>
        <v>Art. 33 bis (4%) Activo Fijo</v>
      </c>
      <c r="C22" s="67" t="str">
        <f aca="false">IFERROR(INDEX(Cuentas!$D$8:$D$500,MATCH($B$4&amp;"|"&amp;A22,Cuentas!$A$8:$A$500&amp;"|"&amp;Cuentas!$B$8:$B$500,0)),"ACTIVO")</f>
        <v>ACTIVO</v>
      </c>
      <c r="D22" s="67" t="str">
        <f aca="false">IF(OR(C22="ACTIVO",C22="PERDIDA"),"Deudor","Acreedor")</f>
        <v>Deudor</v>
      </c>
      <c r="E22" s="90" t="n">
        <f aca="false">SUMPRODUCT(('Libro Diario'!$A$10:$A$5000=$B$4)*('Libro Diario'!$E$10:$E$5000=A22)*(YEAR('Libro Diario'!$C$10:$C$5000)=$E$4)*('Libro Diario'!$H$10:$H$5000))</f>
        <v>0</v>
      </c>
      <c r="F22" s="90" t="n">
        <f aca="false">SUMPRODUCT(('Libro Diario'!$A$10:$A$5000=$B$4)*('Libro Diario'!$E$10:$E$5000=A22)*(YEAR('Libro Diario'!$C$10:$C$5000)=$E$4)*('Libro Diario'!$I$10:$I$5000))</f>
        <v>0</v>
      </c>
      <c r="G22" s="90" t="str">
        <f aca="false">IF(E22&gt;F22,E22-F22,"")</f>
        <v/>
      </c>
      <c r="H22" s="90" t="str">
        <f aca="false">IF(F22&gt;E22,F22-E22,"")</f>
        <v/>
      </c>
      <c r="I22" s="91" t="n">
        <f aca="false">IF(OR(C22="ACTIVO",C22="PERDIDA"),E22-F22,F22-E22)</f>
        <v>0</v>
      </c>
    </row>
    <row r="23" customFormat="false" ht="18" hidden="false" customHeight="true" outlineLevel="0" collapsed="false">
      <c r="A23" s="92" t="n">
        <v>1107401</v>
      </c>
      <c r="B23" s="54" t="str">
        <f aca="false">IFERROR(INDEX(Cuentas!$C$8:$C$500,MATCH($B$4&amp;"|"&amp;A23,Cuentas!$A$8:$A$500&amp;"|"&amp;Cuentas!$B$8:$B$500,0)),"Contribuciones Bienes Raices- Credito")</f>
        <v>Contribuciones Bienes Raices- Credito</v>
      </c>
      <c r="C23" s="69" t="str">
        <f aca="false">IFERROR(INDEX(Cuentas!$D$8:$D$500,MATCH($B$4&amp;"|"&amp;A23,Cuentas!$A$8:$A$500&amp;"|"&amp;Cuentas!$B$8:$B$500,0)),"ACTIVO")</f>
        <v>ACTIVO</v>
      </c>
      <c r="D23" s="69" t="str">
        <f aca="false">IF(OR(C23="ACTIVO",C23="PERDIDA"),"Deudor","Acreedor")</f>
        <v>Deudor</v>
      </c>
      <c r="E23" s="93" t="n">
        <f aca="false">SUMPRODUCT(('Libro Diario'!$A$10:$A$5000=$B$4)*('Libro Diario'!$E$10:$E$5000=A23)*(YEAR('Libro Diario'!$C$10:$C$5000)=$E$4)*('Libro Diario'!$H$10:$H$5000))</f>
        <v>0</v>
      </c>
      <c r="F23" s="93" t="n">
        <f aca="false">SUMPRODUCT(('Libro Diario'!$A$10:$A$5000=$B$4)*('Libro Diario'!$E$10:$E$5000=A23)*(YEAR('Libro Diario'!$C$10:$C$5000)=$E$4)*('Libro Diario'!$I$10:$I$5000))</f>
        <v>0</v>
      </c>
      <c r="G23" s="93" t="str">
        <f aca="false">IF(E23&gt;F23,E23-F23,"")</f>
        <v/>
      </c>
      <c r="H23" s="93" t="str">
        <f aca="false">IF(F23&gt;E23,F23-E23,"")</f>
        <v/>
      </c>
      <c r="I23" s="94" t="n">
        <f aca="false">IF(OR(C23="ACTIVO",C23="PERDIDA"),E23-F23,F23-E23)</f>
        <v>0</v>
      </c>
    </row>
    <row r="24" customFormat="false" ht="18" hidden="false" customHeight="true" outlineLevel="0" collapsed="false">
      <c r="A24" s="89" t="n">
        <v>1107402</v>
      </c>
      <c r="B24" s="55" t="str">
        <f aca="false">IFERROR(INDEX(Cuentas!$C$8:$C$500,MATCH($B$4&amp;"|"&amp;A24,Cuentas!$A$8:$A$500&amp;"|"&amp;Cuentas!$B$8:$B$500,0)),"Pagos Provisionales por Utilidades Absorbidas")</f>
        <v>Pagos Provisionales por Utilidades Absorbidas</v>
      </c>
      <c r="C24" s="67" t="str">
        <f aca="false">IFERROR(INDEX(Cuentas!$D$8:$D$500,MATCH($B$4&amp;"|"&amp;A24,Cuentas!$A$8:$A$500&amp;"|"&amp;Cuentas!$B$8:$B$500,0)),"ACTIVO")</f>
        <v>ACTIVO</v>
      </c>
      <c r="D24" s="67" t="str">
        <f aca="false">IF(OR(C24="ACTIVO",C24="PERDIDA"),"Deudor","Acreedor")</f>
        <v>Deudor</v>
      </c>
      <c r="E24" s="90" t="n">
        <f aca="false">SUMPRODUCT(('Libro Diario'!$A$10:$A$5000=$B$4)*('Libro Diario'!$E$10:$E$5000=A24)*(YEAR('Libro Diario'!$C$10:$C$5000)=$E$4)*('Libro Diario'!$H$10:$H$5000))</f>
        <v>0</v>
      </c>
      <c r="F24" s="90" t="n">
        <f aca="false">SUMPRODUCT(('Libro Diario'!$A$10:$A$5000=$B$4)*('Libro Diario'!$E$10:$E$5000=A24)*(YEAR('Libro Diario'!$C$10:$C$5000)=$E$4)*('Libro Diario'!$I$10:$I$5000))</f>
        <v>0</v>
      </c>
      <c r="G24" s="90" t="str">
        <f aca="false">IF(E24&gt;F24,E24-F24,"")</f>
        <v/>
      </c>
      <c r="H24" s="90" t="str">
        <f aca="false">IF(F24&gt;E24,F24-E24,"")</f>
        <v/>
      </c>
      <c r="I24" s="91" t="n">
        <f aca="false">IF(OR(C24="ACTIVO",C24="PERDIDA"),E24-F24,F24-E24)</f>
        <v>0</v>
      </c>
    </row>
    <row r="25" customFormat="false" ht="18" hidden="false" customHeight="true" outlineLevel="0" collapsed="false">
      <c r="A25" s="92" t="n">
        <v>1107404</v>
      </c>
      <c r="B25" s="54" t="str">
        <f aca="false">IFERROR(INDEX(Cuentas!$C$8:$C$500,MATCH($B$4&amp;"|"&amp;A25,Cuentas!$A$8:$A$500&amp;"|"&amp;Cuentas!$B$8:$B$500,0)),"Credito Sence")</f>
        <v>Credito Sence</v>
      </c>
      <c r="C25" s="69" t="str">
        <f aca="false">IFERROR(INDEX(Cuentas!$D$8:$D$500,MATCH($B$4&amp;"|"&amp;A25,Cuentas!$A$8:$A$500&amp;"|"&amp;Cuentas!$B$8:$B$500,0)),"ACTIVO")</f>
        <v>ACTIVO</v>
      </c>
      <c r="D25" s="69" t="str">
        <f aca="false">IF(OR(C25="ACTIVO",C25="PERDIDA"),"Deudor","Acreedor")</f>
        <v>Deudor</v>
      </c>
      <c r="E25" s="93" t="n">
        <f aca="false">SUMPRODUCT(('Libro Diario'!$A$10:$A$5000=$B$4)*('Libro Diario'!$E$10:$E$5000=A25)*(YEAR('Libro Diario'!$C$10:$C$5000)=$E$4)*('Libro Diario'!$H$10:$H$5000))</f>
        <v>0</v>
      </c>
      <c r="F25" s="93" t="n">
        <f aca="false">SUMPRODUCT(('Libro Diario'!$A$10:$A$5000=$B$4)*('Libro Diario'!$E$10:$E$5000=A25)*(YEAR('Libro Diario'!$C$10:$C$5000)=$E$4)*('Libro Diario'!$I$10:$I$5000))</f>
        <v>0</v>
      </c>
      <c r="G25" s="93" t="str">
        <f aca="false">IF(E25&gt;F25,E25-F25,"")</f>
        <v/>
      </c>
      <c r="H25" s="93" t="str">
        <f aca="false">IF(F25&gt;E25,F25-E25,"")</f>
        <v/>
      </c>
      <c r="I25" s="94" t="n">
        <f aca="false">IF(OR(C25="ACTIVO",C25="PERDIDA"),E25-F25,F25-E25)</f>
        <v>0</v>
      </c>
    </row>
    <row r="26" customFormat="false" ht="18" hidden="false" customHeight="true" outlineLevel="0" collapsed="false">
      <c r="A26" s="89" t="n">
        <v>1108001</v>
      </c>
      <c r="B26" s="55" t="str">
        <f aca="false">IFERROR(INDEX(Cuentas!$C$8:$C$500,MATCH($B$4&amp;"|"&amp;A26,Cuentas!$A$8:$A$500&amp;"|"&amp;Cuentas!$B$8:$B$500,0)),"Mercaderías")</f>
        <v>Mercaderías</v>
      </c>
      <c r="C26" s="67" t="str">
        <f aca="false">IFERROR(INDEX(Cuentas!$D$8:$D$500,MATCH($B$4&amp;"|"&amp;A26,Cuentas!$A$8:$A$500&amp;"|"&amp;Cuentas!$B$8:$B$500,0)),"ACTIVO")</f>
        <v>ACTIVO</v>
      </c>
      <c r="D26" s="67" t="str">
        <f aca="false">IF(OR(C26="ACTIVO",C26="PERDIDA"),"Deudor","Acreedor")</f>
        <v>Deudor</v>
      </c>
      <c r="E26" s="90" t="n">
        <f aca="false">SUMPRODUCT(('Libro Diario'!$A$10:$A$5000=$B$4)*('Libro Diario'!$E$10:$E$5000=A26)*(YEAR('Libro Diario'!$C$10:$C$5000)=$E$4)*('Libro Diario'!$H$10:$H$5000))</f>
        <v>0</v>
      </c>
      <c r="F26" s="90" t="n">
        <f aca="false">SUMPRODUCT(('Libro Diario'!$A$10:$A$5000=$B$4)*('Libro Diario'!$E$10:$E$5000=A26)*(YEAR('Libro Diario'!$C$10:$C$5000)=$E$4)*('Libro Diario'!$I$10:$I$5000))</f>
        <v>0</v>
      </c>
      <c r="G26" s="90" t="str">
        <f aca="false">IF(E26&gt;F26,E26-F26,"")</f>
        <v/>
      </c>
      <c r="H26" s="90" t="str">
        <f aca="false">IF(F26&gt;E26,F26-E26,"")</f>
        <v/>
      </c>
      <c r="I26" s="91" t="n">
        <f aca="false">IF(OR(C26="ACTIVO",C26="PERDIDA"),E26-F26,F26-E26)</f>
        <v>0</v>
      </c>
    </row>
    <row r="27" customFormat="false" ht="18" hidden="false" customHeight="true" outlineLevel="0" collapsed="false">
      <c r="A27" s="92" t="n">
        <v>1108002</v>
      </c>
      <c r="B27" s="54" t="str">
        <f aca="false">IFERROR(INDEX(Cuentas!$C$8:$C$500,MATCH($B$4&amp;"|"&amp;A27,Cuentas!$A$8:$A$500&amp;"|"&amp;Cuentas!$B$8:$B$500,0)),"Materia Prima e Insumos")</f>
        <v>Materia Prima e Insumos</v>
      </c>
      <c r="C27" s="69" t="str">
        <f aca="false">IFERROR(INDEX(Cuentas!$D$8:$D$500,MATCH($B$4&amp;"|"&amp;A27,Cuentas!$A$8:$A$500&amp;"|"&amp;Cuentas!$B$8:$B$500,0)),"ACTIVO")</f>
        <v>ACTIVO</v>
      </c>
      <c r="D27" s="69" t="str">
        <f aca="false">IF(OR(C27="ACTIVO",C27="PERDIDA"),"Deudor","Acreedor")</f>
        <v>Deudor</v>
      </c>
      <c r="E27" s="93" t="n">
        <f aca="false">SUMPRODUCT(('Libro Diario'!$A$10:$A$5000=$B$4)*('Libro Diario'!$E$10:$E$5000=A27)*(YEAR('Libro Diario'!$C$10:$C$5000)=$E$4)*('Libro Diario'!$H$10:$H$5000))</f>
        <v>0</v>
      </c>
      <c r="F27" s="93" t="n">
        <f aca="false">SUMPRODUCT(('Libro Diario'!$A$10:$A$5000=$B$4)*('Libro Diario'!$E$10:$E$5000=A27)*(YEAR('Libro Diario'!$C$10:$C$5000)=$E$4)*('Libro Diario'!$I$10:$I$5000))</f>
        <v>0</v>
      </c>
      <c r="G27" s="93" t="str">
        <f aca="false">IF(E27&gt;F27,E27-F27,"")</f>
        <v/>
      </c>
      <c r="H27" s="93" t="str">
        <f aca="false">IF(F27&gt;E27,F27-E27,"")</f>
        <v/>
      </c>
      <c r="I27" s="94" t="n">
        <f aca="false">IF(OR(C27="ACTIVO",C27="PERDIDA"),E27-F27,F27-E27)</f>
        <v>0</v>
      </c>
    </row>
    <row r="28" customFormat="false" ht="18" hidden="false" customHeight="true" outlineLevel="0" collapsed="false">
      <c r="A28" s="89" t="n">
        <v>1110001</v>
      </c>
      <c r="B28" s="55" t="str">
        <f aca="false">IFERROR(INDEX(Cuentas!$C$8:$C$500,MATCH($B$4&amp;"|"&amp;A28,Cuentas!$A$8:$A$500&amp;"|"&amp;Cuentas!$B$8:$B$500,0)),"Intereses diferidos Corto Plazo")</f>
        <v>Intereses diferidos Corto Plazo</v>
      </c>
      <c r="C28" s="67" t="str">
        <f aca="false">IFERROR(INDEX(Cuentas!$D$8:$D$500,MATCH($B$4&amp;"|"&amp;A28,Cuentas!$A$8:$A$500&amp;"|"&amp;Cuentas!$B$8:$B$500,0)),"ACTIVO")</f>
        <v>ACTIVO</v>
      </c>
      <c r="D28" s="67" t="str">
        <f aca="false">IF(OR(C28="ACTIVO",C28="PERDIDA"),"Deudor","Acreedor")</f>
        <v>Deudor</v>
      </c>
      <c r="E28" s="90" t="n">
        <f aca="false">SUMPRODUCT(('Libro Diario'!$A$10:$A$5000=$B$4)*('Libro Diario'!$E$10:$E$5000=A28)*(YEAR('Libro Diario'!$C$10:$C$5000)=$E$4)*('Libro Diario'!$H$10:$H$5000))</f>
        <v>0</v>
      </c>
      <c r="F28" s="90" t="n">
        <f aca="false">SUMPRODUCT(('Libro Diario'!$A$10:$A$5000=$B$4)*('Libro Diario'!$E$10:$E$5000=A28)*(YEAR('Libro Diario'!$C$10:$C$5000)=$E$4)*('Libro Diario'!$I$10:$I$5000))</f>
        <v>0</v>
      </c>
      <c r="G28" s="90" t="str">
        <f aca="false">IF(E28&gt;F28,E28-F28,"")</f>
        <v/>
      </c>
      <c r="H28" s="90" t="str">
        <f aca="false">IF(F28&gt;E28,F28-E28,"")</f>
        <v/>
      </c>
      <c r="I28" s="91" t="n">
        <f aca="false">IF(OR(C28="ACTIVO",C28="PERDIDA"),E28-F28,F28-E28)</f>
        <v>0</v>
      </c>
    </row>
    <row r="29" customFormat="false" ht="18" hidden="false" customHeight="true" outlineLevel="0" collapsed="false">
      <c r="A29" s="92" t="n">
        <v>1201001</v>
      </c>
      <c r="B29" s="54" t="str">
        <f aca="false">IFERROR(INDEX(Cuentas!$C$8:$C$500,MATCH($B$4&amp;"|"&amp;A29,Cuentas!$A$8:$A$500&amp;"|"&amp;Cuentas!$B$8:$B$500,0)),"Vehiculos de Carga")</f>
        <v>Vehiculos de Carga</v>
      </c>
      <c r="C29" s="69" t="str">
        <f aca="false">IFERROR(INDEX(Cuentas!$D$8:$D$500,MATCH($B$4&amp;"|"&amp;A29,Cuentas!$A$8:$A$500&amp;"|"&amp;Cuentas!$B$8:$B$500,0)),"ACTIVO")</f>
        <v>ACTIVO</v>
      </c>
      <c r="D29" s="69" t="str">
        <f aca="false">IF(OR(C29="ACTIVO",C29="PERDIDA"),"Deudor","Acreedor")</f>
        <v>Deudor</v>
      </c>
      <c r="E29" s="93" t="n">
        <f aca="false">SUMPRODUCT(('Libro Diario'!$A$10:$A$5000=$B$4)*('Libro Diario'!$E$10:$E$5000=A29)*(YEAR('Libro Diario'!$C$10:$C$5000)=$E$4)*('Libro Diario'!$H$10:$H$5000))</f>
        <v>0</v>
      </c>
      <c r="F29" s="93" t="n">
        <f aca="false">SUMPRODUCT(('Libro Diario'!$A$10:$A$5000=$B$4)*('Libro Diario'!$E$10:$E$5000=A29)*(YEAR('Libro Diario'!$C$10:$C$5000)=$E$4)*('Libro Diario'!$I$10:$I$5000))</f>
        <v>0</v>
      </c>
      <c r="G29" s="93" t="str">
        <f aca="false">IF(E29&gt;F29,E29-F29,"")</f>
        <v/>
      </c>
      <c r="H29" s="93" t="str">
        <f aca="false">IF(F29&gt;E29,F29-E29,"")</f>
        <v/>
      </c>
      <c r="I29" s="94" t="n">
        <f aca="false">IF(OR(C29="ACTIVO",C29="PERDIDA"),E29-F29,F29-E29)</f>
        <v>0</v>
      </c>
    </row>
    <row r="30" customFormat="false" ht="18" hidden="false" customHeight="true" outlineLevel="0" collapsed="false">
      <c r="A30" s="89" t="n">
        <v>1201002</v>
      </c>
      <c r="B30" s="55" t="str">
        <f aca="false">IFERROR(INDEX(Cuentas!$C$8:$C$500,MATCH($B$4&amp;"|"&amp;A30,Cuentas!$A$8:$A$500&amp;"|"&amp;Cuentas!$B$8:$B$500,0)),"Dep.Acum.Vehiculos de Carga")</f>
        <v>Dep.Acum.Vehiculos de Carga</v>
      </c>
      <c r="C30" s="67" t="str">
        <f aca="false">IFERROR(INDEX(Cuentas!$D$8:$D$500,MATCH($B$4&amp;"|"&amp;A30,Cuentas!$A$8:$A$500&amp;"|"&amp;Cuentas!$B$8:$B$500,0)),"PASIVO")</f>
        <v>PASIVO</v>
      </c>
      <c r="D30" s="67" t="str">
        <f aca="false">IF(OR(C30="ACTIVO",C30="PERDIDA"),"Deudor","Acreedor")</f>
        <v>Acreedor</v>
      </c>
      <c r="E30" s="90" t="n">
        <f aca="false">SUMPRODUCT(('Libro Diario'!$A$10:$A$5000=$B$4)*('Libro Diario'!$E$10:$E$5000=A30)*(YEAR('Libro Diario'!$C$10:$C$5000)=$E$4)*('Libro Diario'!$H$10:$H$5000))</f>
        <v>0</v>
      </c>
      <c r="F30" s="90" t="n">
        <f aca="false">SUMPRODUCT(('Libro Diario'!$A$10:$A$5000=$B$4)*('Libro Diario'!$E$10:$E$5000=A30)*(YEAR('Libro Diario'!$C$10:$C$5000)=$E$4)*('Libro Diario'!$I$10:$I$5000))</f>
        <v>0</v>
      </c>
      <c r="G30" s="90" t="str">
        <f aca="false">IF(E30&gt;F30,E30-F30,"")</f>
        <v/>
      </c>
      <c r="H30" s="90" t="str">
        <f aca="false">IF(F30&gt;E30,F30-E30,"")</f>
        <v/>
      </c>
      <c r="I30" s="91" t="n">
        <f aca="false">IF(OR(C30="ACTIVO",C30="PERDIDA"),E30-F30,F30-E30)</f>
        <v>0</v>
      </c>
    </row>
    <row r="31" customFormat="false" ht="18" hidden="false" customHeight="true" outlineLevel="0" collapsed="false">
      <c r="A31" s="92" t="n">
        <v>1201003</v>
      </c>
      <c r="B31" s="54" t="str">
        <f aca="false">IFERROR(INDEX(Cuentas!$C$8:$C$500,MATCH($B$4&amp;"|"&amp;A31,Cuentas!$A$8:$A$500&amp;"|"&amp;Cuentas!$B$8:$B$500,0)),"Otros Vehiculos de Trabajo")</f>
        <v>Otros Vehiculos de Trabajo</v>
      </c>
      <c r="C31" s="69" t="str">
        <f aca="false">IFERROR(INDEX(Cuentas!$D$8:$D$500,MATCH($B$4&amp;"|"&amp;A31,Cuentas!$A$8:$A$500&amp;"|"&amp;Cuentas!$B$8:$B$500,0)),"ACTIVO")</f>
        <v>ACTIVO</v>
      </c>
      <c r="D31" s="69" t="str">
        <f aca="false">IF(OR(C31="ACTIVO",C31="PERDIDA"),"Deudor","Acreedor")</f>
        <v>Deudor</v>
      </c>
      <c r="E31" s="93" t="n">
        <f aca="false">SUMPRODUCT(('Libro Diario'!$A$10:$A$5000=$B$4)*('Libro Diario'!$E$10:$E$5000=A31)*(YEAR('Libro Diario'!$C$10:$C$5000)=$E$4)*('Libro Diario'!$H$10:$H$5000))</f>
        <v>0</v>
      </c>
      <c r="F31" s="93" t="n">
        <f aca="false">SUMPRODUCT(('Libro Diario'!$A$10:$A$5000=$B$4)*('Libro Diario'!$E$10:$E$5000=A31)*(YEAR('Libro Diario'!$C$10:$C$5000)=$E$4)*('Libro Diario'!$I$10:$I$5000))</f>
        <v>0</v>
      </c>
      <c r="G31" s="93" t="str">
        <f aca="false">IF(E31&gt;F31,E31-F31,"")</f>
        <v/>
      </c>
      <c r="H31" s="93" t="str">
        <f aca="false">IF(F31&gt;E31,F31-E31,"")</f>
        <v/>
      </c>
      <c r="I31" s="94" t="n">
        <f aca="false">IF(OR(C31="ACTIVO",C31="PERDIDA"),E31-F31,F31-E31)</f>
        <v>0</v>
      </c>
    </row>
    <row r="32" customFormat="false" ht="18" hidden="false" customHeight="true" outlineLevel="0" collapsed="false">
      <c r="A32" s="89" t="n">
        <v>1201004</v>
      </c>
      <c r="B32" s="55" t="str">
        <f aca="false">IFERROR(INDEX(Cuentas!$C$8:$C$500,MATCH($B$4&amp;"|"&amp;A32,Cuentas!$A$8:$A$500&amp;"|"&amp;Cuentas!$B$8:$B$500,0)),"Dep. Acum. Vehículos")</f>
        <v>Dep. Acum. Vehículos</v>
      </c>
      <c r="C32" s="67" t="str">
        <f aca="false">IFERROR(INDEX(Cuentas!$D$8:$D$500,MATCH($B$4&amp;"|"&amp;A32,Cuentas!$A$8:$A$500&amp;"|"&amp;Cuentas!$B$8:$B$500,0)),"PASIVO")</f>
        <v>PASIVO</v>
      </c>
      <c r="D32" s="67" t="str">
        <f aca="false">IF(OR(C32="ACTIVO",C32="PERDIDA"),"Deudor","Acreedor")</f>
        <v>Acreedor</v>
      </c>
      <c r="E32" s="90" t="n">
        <f aca="false">SUMPRODUCT(('Libro Diario'!$A$10:$A$5000=$B$4)*('Libro Diario'!$E$10:$E$5000=A32)*(YEAR('Libro Diario'!$C$10:$C$5000)=$E$4)*('Libro Diario'!$H$10:$H$5000))</f>
        <v>0</v>
      </c>
      <c r="F32" s="90" t="n">
        <f aca="false">SUMPRODUCT(('Libro Diario'!$A$10:$A$5000=$B$4)*('Libro Diario'!$E$10:$E$5000=A32)*(YEAR('Libro Diario'!$C$10:$C$5000)=$E$4)*('Libro Diario'!$I$10:$I$5000))</f>
        <v>0</v>
      </c>
      <c r="G32" s="90" t="str">
        <f aca="false">IF(E32&gt;F32,E32-F32,"")</f>
        <v/>
      </c>
      <c r="H32" s="90" t="str">
        <f aca="false">IF(F32&gt;E32,F32-E32,"")</f>
        <v/>
      </c>
      <c r="I32" s="91" t="n">
        <f aca="false">IF(OR(C32="ACTIVO",C32="PERDIDA"),E32-F32,F32-E32)</f>
        <v>0</v>
      </c>
    </row>
    <row r="33" customFormat="false" ht="18" hidden="false" customHeight="true" outlineLevel="0" collapsed="false">
      <c r="A33" s="92" t="n">
        <v>1201005</v>
      </c>
      <c r="B33" s="54" t="str">
        <f aca="false">IFERROR(INDEX(Cuentas!$C$8:$C$500,MATCH($B$4&amp;"|"&amp;A33,Cuentas!$A$8:$A$500&amp;"|"&amp;Cuentas!$B$8:$B$500,0)),"Remolques , carros")</f>
        <v>Remolques , carros</v>
      </c>
      <c r="C33" s="69" t="str">
        <f aca="false">IFERROR(INDEX(Cuentas!$D$8:$D$500,MATCH($B$4&amp;"|"&amp;A33,Cuentas!$A$8:$A$500&amp;"|"&amp;Cuentas!$B$8:$B$500,0)),"ACTIVO")</f>
        <v>ACTIVO</v>
      </c>
      <c r="D33" s="69" t="str">
        <f aca="false">IF(OR(C33="ACTIVO",C33="PERDIDA"),"Deudor","Acreedor")</f>
        <v>Deudor</v>
      </c>
      <c r="E33" s="93" t="n">
        <f aca="false">SUMPRODUCT(('Libro Diario'!$A$10:$A$5000=$B$4)*('Libro Diario'!$E$10:$E$5000=A33)*(YEAR('Libro Diario'!$C$10:$C$5000)=$E$4)*('Libro Diario'!$H$10:$H$5000))</f>
        <v>0</v>
      </c>
      <c r="F33" s="93" t="n">
        <f aca="false">SUMPRODUCT(('Libro Diario'!$A$10:$A$5000=$B$4)*('Libro Diario'!$E$10:$E$5000=A33)*(YEAR('Libro Diario'!$C$10:$C$5000)=$E$4)*('Libro Diario'!$I$10:$I$5000))</f>
        <v>0</v>
      </c>
      <c r="G33" s="93" t="str">
        <f aca="false">IF(E33&gt;F33,E33-F33,"")</f>
        <v/>
      </c>
      <c r="H33" s="93" t="str">
        <f aca="false">IF(F33&gt;E33,F33-E33,"")</f>
        <v/>
      </c>
      <c r="I33" s="94" t="n">
        <f aca="false">IF(OR(C33="ACTIVO",C33="PERDIDA"),E33-F33,F33-E33)</f>
        <v>0</v>
      </c>
    </row>
    <row r="34" customFormat="false" ht="18" hidden="false" customHeight="true" outlineLevel="0" collapsed="false">
      <c r="A34" s="89" t="n">
        <v>1201006</v>
      </c>
      <c r="B34" s="55" t="str">
        <f aca="false">IFERROR(INDEX(Cuentas!$C$8:$C$500,MATCH($B$4&amp;"|"&amp;A34,Cuentas!$A$8:$A$500&amp;"|"&amp;Cuentas!$B$8:$B$500,0)),"Dep.Acum.Remolques, carros")</f>
        <v>Dep.Acum.Remolques, carros</v>
      </c>
      <c r="C34" s="67" t="str">
        <f aca="false">IFERROR(INDEX(Cuentas!$D$8:$D$500,MATCH($B$4&amp;"|"&amp;A34,Cuentas!$A$8:$A$500&amp;"|"&amp;Cuentas!$B$8:$B$500,0)),"PASIVO")</f>
        <v>PASIVO</v>
      </c>
      <c r="D34" s="67" t="str">
        <f aca="false">IF(OR(C34="ACTIVO",C34="PERDIDA"),"Deudor","Acreedor")</f>
        <v>Acreedor</v>
      </c>
      <c r="E34" s="90" t="n">
        <f aca="false">SUMPRODUCT(('Libro Diario'!$A$10:$A$5000=$B$4)*('Libro Diario'!$E$10:$E$5000=A34)*(YEAR('Libro Diario'!$C$10:$C$5000)=$E$4)*('Libro Diario'!$H$10:$H$5000))</f>
        <v>0</v>
      </c>
      <c r="F34" s="90" t="n">
        <f aca="false">SUMPRODUCT(('Libro Diario'!$A$10:$A$5000=$B$4)*('Libro Diario'!$E$10:$E$5000=A34)*(YEAR('Libro Diario'!$C$10:$C$5000)=$E$4)*('Libro Diario'!$I$10:$I$5000))</f>
        <v>0</v>
      </c>
      <c r="G34" s="90" t="str">
        <f aca="false">IF(E34&gt;F34,E34-F34,"")</f>
        <v/>
      </c>
      <c r="H34" s="90" t="str">
        <f aca="false">IF(F34&gt;E34,F34-E34,"")</f>
        <v/>
      </c>
      <c r="I34" s="91" t="n">
        <f aca="false">IF(OR(C34="ACTIVO",C34="PERDIDA"),E34-F34,F34-E34)</f>
        <v>0</v>
      </c>
    </row>
    <row r="35" customFormat="false" ht="18" hidden="false" customHeight="true" outlineLevel="0" collapsed="false">
      <c r="A35" s="92" t="n">
        <v>1201007</v>
      </c>
      <c r="B35" s="54" t="str">
        <f aca="false">IFERROR(INDEX(Cuentas!$C$8:$C$500,MATCH($B$4&amp;"|"&amp;A35,Cuentas!$A$8:$A$500&amp;"|"&amp;Cuentas!$B$8:$B$500,0)),"Vehiculos")</f>
        <v>Vehiculos</v>
      </c>
      <c r="C35" s="69" t="str">
        <f aca="false">IFERROR(INDEX(Cuentas!$D$8:$D$500,MATCH($B$4&amp;"|"&amp;A35,Cuentas!$A$8:$A$500&amp;"|"&amp;Cuentas!$B$8:$B$500,0)),"ACTIVO")</f>
        <v>ACTIVO</v>
      </c>
      <c r="D35" s="69" t="str">
        <f aca="false">IF(OR(C35="ACTIVO",C35="PERDIDA"),"Deudor","Acreedor")</f>
        <v>Deudor</v>
      </c>
      <c r="E35" s="93" t="n">
        <f aca="false">SUMPRODUCT(('Libro Diario'!$A$10:$A$5000=$B$4)*('Libro Diario'!$E$10:$E$5000=A35)*(YEAR('Libro Diario'!$C$10:$C$5000)=$E$4)*('Libro Diario'!$H$10:$H$5000))</f>
        <v>0</v>
      </c>
      <c r="F35" s="93" t="n">
        <f aca="false">SUMPRODUCT(('Libro Diario'!$A$10:$A$5000=$B$4)*('Libro Diario'!$E$10:$E$5000=A35)*(YEAR('Libro Diario'!$C$10:$C$5000)=$E$4)*('Libro Diario'!$I$10:$I$5000))</f>
        <v>0</v>
      </c>
      <c r="G35" s="93" t="str">
        <f aca="false">IF(E35&gt;F35,E35-F35,"")</f>
        <v/>
      </c>
      <c r="H35" s="93" t="str">
        <f aca="false">IF(F35&gt;E35,F35-E35,"")</f>
        <v/>
      </c>
      <c r="I35" s="94" t="n">
        <f aca="false">IF(OR(C35="ACTIVO",C35="PERDIDA"),E35-F35,F35-E35)</f>
        <v>0</v>
      </c>
    </row>
    <row r="36" customFormat="false" ht="18" hidden="false" customHeight="true" outlineLevel="0" collapsed="false">
      <c r="A36" s="89" t="n">
        <v>1201008</v>
      </c>
      <c r="B36" s="55" t="str">
        <f aca="false">IFERROR(INDEX(Cuentas!$C$8:$C$500,MATCH($B$4&amp;"|"&amp;A36,Cuentas!$A$8:$A$500&amp;"|"&amp;Cuentas!$B$8:$B$500,0)),"Vehiculos en Leasing")</f>
        <v>Vehiculos en Leasing</v>
      </c>
      <c r="C36" s="67" t="str">
        <f aca="false">IFERROR(INDEX(Cuentas!$D$8:$D$500,MATCH($B$4&amp;"|"&amp;A36,Cuentas!$A$8:$A$500&amp;"|"&amp;Cuentas!$B$8:$B$500,0)),"ACTIVO")</f>
        <v>ACTIVO</v>
      </c>
      <c r="D36" s="67" t="str">
        <f aca="false">IF(OR(C36="ACTIVO",C36="PERDIDA"),"Deudor","Acreedor")</f>
        <v>Deudor</v>
      </c>
      <c r="E36" s="90" t="n">
        <f aca="false">SUMPRODUCT(('Libro Diario'!$A$10:$A$5000=$B$4)*('Libro Diario'!$E$10:$E$5000=A36)*(YEAR('Libro Diario'!$C$10:$C$5000)=$E$4)*('Libro Diario'!$H$10:$H$5000))</f>
        <v>0</v>
      </c>
      <c r="F36" s="90" t="n">
        <f aca="false">SUMPRODUCT(('Libro Diario'!$A$10:$A$5000=$B$4)*('Libro Diario'!$E$10:$E$5000=A36)*(YEAR('Libro Diario'!$C$10:$C$5000)=$E$4)*('Libro Diario'!$I$10:$I$5000))</f>
        <v>0</v>
      </c>
      <c r="G36" s="90" t="str">
        <f aca="false">IF(E36&gt;F36,E36-F36,"")</f>
        <v/>
      </c>
      <c r="H36" s="90" t="str">
        <f aca="false">IF(F36&gt;E36,F36-E36,"")</f>
        <v/>
      </c>
      <c r="I36" s="91" t="n">
        <f aca="false">IF(OR(C36="ACTIVO",C36="PERDIDA"),E36-F36,F36-E36)</f>
        <v>0</v>
      </c>
    </row>
    <row r="37" customFormat="false" ht="18" hidden="false" customHeight="true" outlineLevel="0" collapsed="false">
      <c r="A37" s="92" t="n">
        <v>1201010</v>
      </c>
      <c r="B37" s="54" t="str">
        <f aca="false">IFERROR(INDEX(Cuentas!$C$8:$C$500,MATCH($B$4&amp;"|"&amp;A37,Cuentas!$A$8:$A$500&amp;"|"&amp;Cuentas!$B$8:$B$500,0)),"Dif.Valor Comercial Vehiculos")</f>
        <v>Dif.Valor Comercial Vehiculos</v>
      </c>
      <c r="C37" s="69" t="str">
        <f aca="false">IFERROR(INDEX(Cuentas!$D$8:$D$500,MATCH($B$4&amp;"|"&amp;A37,Cuentas!$A$8:$A$500&amp;"|"&amp;Cuentas!$B$8:$B$500,0)),"ACTIVO")</f>
        <v>ACTIVO</v>
      </c>
      <c r="D37" s="69" t="str">
        <f aca="false">IF(OR(C37="ACTIVO",C37="PERDIDA"),"Deudor","Acreedor")</f>
        <v>Deudor</v>
      </c>
      <c r="E37" s="93" t="n">
        <f aca="false">SUMPRODUCT(('Libro Diario'!$A$10:$A$5000=$B$4)*('Libro Diario'!$E$10:$E$5000=A37)*(YEAR('Libro Diario'!$C$10:$C$5000)=$E$4)*('Libro Diario'!$H$10:$H$5000))</f>
        <v>0</v>
      </c>
      <c r="F37" s="93" t="n">
        <f aca="false">SUMPRODUCT(('Libro Diario'!$A$10:$A$5000=$B$4)*('Libro Diario'!$E$10:$E$5000=A37)*(YEAR('Libro Diario'!$C$10:$C$5000)=$E$4)*('Libro Diario'!$I$10:$I$5000))</f>
        <v>0</v>
      </c>
      <c r="G37" s="93" t="str">
        <f aca="false">IF(E37&gt;F37,E37-F37,"")</f>
        <v/>
      </c>
      <c r="H37" s="93" t="str">
        <f aca="false">IF(F37&gt;E37,F37-E37,"")</f>
        <v/>
      </c>
      <c r="I37" s="94" t="n">
        <f aca="false">IF(OR(C37="ACTIVO",C37="PERDIDA"),E37-F37,F37-E37)</f>
        <v>0</v>
      </c>
    </row>
    <row r="38" customFormat="false" ht="18" hidden="false" customHeight="true" outlineLevel="0" collapsed="false">
      <c r="A38" s="89" t="n">
        <v>1202001</v>
      </c>
      <c r="B38" s="55" t="str">
        <f aca="false">IFERROR(INDEX(Cuentas!$C$8:$C$500,MATCH($B$4&amp;"|"&amp;A38,Cuentas!$A$8:$A$500&amp;"|"&amp;Cuentas!$B$8:$B$500,0)),"Gruas")</f>
        <v>Gruas</v>
      </c>
      <c r="C38" s="67" t="str">
        <f aca="false">IFERROR(INDEX(Cuentas!$D$8:$D$500,MATCH($B$4&amp;"|"&amp;A38,Cuentas!$A$8:$A$500&amp;"|"&amp;Cuentas!$B$8:$B$500,0)),"ACTIVO")</f>
        <v>ACTIVO</v>
      </c>
      <c r="D38" s="67" t="str">
        <f aca="false">IF(OR(C38="ACTIVO",C38="PERDIDA"),"Deudor","Acreedor")</f>
        <v>Deudor</v>
      </c>
      <c r="E38" s="90" t="n">
        <f aca="false">SUMPRODUCT(('Libro Diario'!$A$10:$A$5000=$B$4)*('Libro Diario'!$E$10:$E$5000=A38)*(YEAR('Libro Diario'!$C$10:$C$5000)=$E$4)*('Libro Diario'!$H$10:$H$5000))</f>
        <v>0</v>
      </c>
      <c r="F38" s="90" t="n">
        <f aca="false">SUMPRODUCT(('Libro Diario'!$A$10:$A$5000=$B$4)*('Libro Diario'!$E$10:$E$5000=A38)*(YEAR('Libro Diario'!$C$10:$C$5000)=$E$4)*('Libro Diario'!$I$10:$I$5000))</f>
        <v>0</v>
      </c>
      <c r="G38" s="90" t="str">
        <f aca="false">IF(E38&gt;F38,E38-F38,"")</f>
        <v/>
      </c>
      <c r="H38" s="90" t="str">
        <f aca="false">IF(F38&gt;E38,F38-E38,"")</f>
        <v/>
      </c>
      <c r="I38" s="91" t="n">
        <f aca="false">IF(OR(C38="ACTIVO",C38="PERDIDA"),E38-F38,F38-E38)</f>
        <v>0</v>
      </c>
    </row>
    <row r="39" customFormat="false" ht="18" hidden="false" customHeight="true" outlineLevel="0" collapsed="false">
      <c r="A39" s="92" t="n">
        <v>1202003</v>
      </c>
      <c r="B39" s="54" t="str">
        <f aca="false">IFERROR(INDEX(Cuentas!$C$8:$C$500,MATCH($B$4&amp;"|"&amp;A39,Cuentas!$A$8:$A$500&amp;"|"&amp;Cuentas!$B$8:$B$500,0)),"Tractores")</f>
        <v>Tractores</v>
      </c>
      <c r="C39" s="69" t="str">
        <f aca="false">IFERROR(INDEX(Cuentas!$D$8:$D$500,MATCH($B$4&amp;"|"&amp;A39,Cuentas!$A$8:$A$500&amp;"|"&amp;Cuentas!$B$8:$B$500,0)),"ACTIVO")</f>
        <v>ACTIVO</v>
      </c>
      <c r="D39" s="69" t="str">
        <f aca="false">IF(OR(C39="ACTIVO",C39="PERDIDA"),"Deudor","Acreedor")</f>
        <v>Deudor</v>
      </c>
      <c r="E39" s="93" t="n">
        <f aca="false">SUMPRODUCT(('Libro Diario'!$A$10:$A$5000=$B$4)*('Libro Diario'!$E$10:$E$5000=A39)*(YEAR('Libro Diario'!$C$10:$C$5000)=$E$4)*('Libro Diario'!$H$10:$H$5000))</f>
        <v>0</v>
      </c>
      <c r="F39" s="93" t="n">
        <f aca="false">SUMPRODUCT(('Libro Diario'!$A$10:$A$5000=$B$4)*('Libro Diario'!$E$10:$E$5000=A39)*(YEAR('Libro Diario'!$C$10:$C$5000)=$E$4)*('Libro Diario'!$I$10:$I$5000))</f>
        <v>0</v>
      </c>
      <c r="G39" s="93" t="str">
        <f aca="false">IF(E39&gt;F39,E39-F39,"")</f>
        <v/>
      </c>
      <c r="H39" s="93" t="str">
        <f aca="false">IF(F39&gt;E39,F39-E39,"")</f>
        <v/>
      </c>
      <c r="I39" s="94" t="n">
        <f aca="false">IF(OR(C39="ACTIVO",C39="PERDIDA"),E39-F39,F39-E39)</f>
        <v>0</v>
      </c>
    </row>
    <row r="40" customFormat="false" ht="18" hidden="false" customHeight="true" outlineLevel="0" collapsed="false">
      <c r="A40" s="89" t="n">
        <v>1202004</v>
      </c>
      <c r="B40" s="55" t="str">
        <f aca="false">IFERROR(INDEX(Cuentas!$C$8:$C$500,MATCH($B$4&amp;"|"&amp;A40,Cuentas!$A$8:$A$500&amp;"|"&amp;Cuentas!$B$8:$B$500,0)),"Maquinas y equipos")</f>
        <v>Maquinas y equipos</v>
      </c>
      <c r="C40" s="67" t="str">
        <f aca="false">IFERROR(INDEX(Cuentas!$D$8:$D$500,MATCH($B$4&amp;"|"&amp;A40,Cuentas!$A$8:$A$500&amp;"|"&amp;Cuentas!$B$8:$B$500,0)),"ACTIVO")</f>
        <v>ACTIVO</v>
      </c>
      <c r="D40" s="67" t="str">
        <f aca="false">IF(OR(C40="ACTIVO",C40="PERDIDA"),"Deudor","Acreedor")</f>
        <v>Deudor</v>
      </c>
      <c r="E40" s="90" t="n">
        <f aca="false">SUMPRODUCT(('Libro Diario'!$A$10:$A$5000=$B$4)*('Libro Diario'!$E$10:$E$5000=A40)*(YEAR('Libro Diario'!$C$10:$C$5000)=$E$4)*('Libro Diario'!$H$10:$H$5000))</f>
        <v>0</v>
      </c>
      <c r="F40" s="90" t="n">
        <f aca="false">SUMPRODUCT(('Libro Diario'!$A$10:$A$5000=$B$4)*('Libro Diario'!$E$10:$E$5000=A40)*(YEAR('Libro Diario'!$C$10:$C$5000)=$E$4)*('Libro Diario'!$I$10:$I$5000))</f>
        <v>0</v>
      </c>
      <c r="G40" s="90" t="str">
        <f aca="false">IF(E40&gt;F40,E40-F40,"")</f>
        <v/>
      </c>
      <c r="H40" s="90" t="str">
        <f aca="false">IF(F40&gt;E40,F40-E40,"")</f>
        <v/>
      </c>
      <c r="I40" s="91" t="n">
        <f aca="false">IF(OR(C40="ACTIVO",C40="PERDIDA"),E40-F40,F40-E40)</f>
        <v>0</v>
      </c>
    </row>
    <row r="41" customFormat="false" ht="18" hidden="false" customHeight="true" outlineLevel="0" collapsed="false">
      <c r="A41" s="92" t="n">
        <v>1202005</v>
      </c>
      <c r="B41" s="54" t="str">
        <f aca="false">IFERROR(INDEX(Cuentas!$C$8:$C$500,MATCH($B$4&amp;"|"&amp;A41,Cuentas!$A$8:$A$500&amp;"|"&amp;Cuentas!$B$8:$B$500,0)),"Equipos Computacionales y relacionados")</f>
        <v>Equipos Computacionales y relacionados</v>
      </c>
      <c r="C41" s="69" t="str">
        <f aca="false">IFERROR(INDEX(Cuentas!$D$8:$D$500,MATCH($B$4&amp;"|"&amp;A41,Cuentas!$A$8:$A$500&amp;"|"&amp;Cuentas!$B$8:$B$500,0)),"ACTIVO")</f>
        <v>ACTIVO</v>
      </c>
      <c r="D41" s="69" t="str">
        <f aca="false">IF(OR(C41="ACTIVO",C41="PERDIDA"),"Deudor","Acreedor")</f>
        <v>Deudor</v>
      </c>
      <c r="E41" s="93" t="n">
        <f aca="false">SUMPRODUCT(('Libro Diario'!$A$10:$A$5000=$B$4)*('Libro Diario'!$E$10:$E$5000=A41)*(YEAR('Libro Diario'!$C$10:$C$5000)=$E$4)*('Libro Diario'!$H$10:$H$5000))</f>
        <v>0</v>
      </c>
      <c r="F41" s="93" t="n">
        <f aca="false">SUMPRODUCT(('Libro Diario'!$A$10:$A$5000=$B$4)*('Libro Diario'!$E$10:$E$5000=A41)*(YEAR('Libro Diario'!$C$10:$C$5000)=$E$4)*('Libro Diario'!$I$10:$I$5000))</f>
        <v>0</v>
      </c>
      <c r="G41" s="93" t="str">
        <f aca="false">IF(E41&gt;F41,E41-F41,"")</f>
        <v/>
      </c>
      <c r="H41" s="93" t="str">
        <f aca="false">IF(F41&gt;E41,F41-E41,"")</f>
        <v/>
      </c>
      <c r="I41" s="94" t="n">
        <f aca="false">IF(OR(C41="ACTIVO",C41="PERDIDA"),E41-F41,F41-E41)</f>
        <v>0</v>
      </c>
    </row>
    <row r="42" customFormat="false" ht="18" hidden="false" customHeight="true" outlineLevel="0" collapsed="false">
      <c r="A42" s="89" t="n">
        <v>1202006</v>
      </c>
      <c r="B42" s="55" t="str">
        <f aca="false">IFERROR(INDEX(Cuentas!$C$8:$C$500,MATCH($B$4&amp;"|"&amp;A42,Cuentas!$A$8:$A$500&amp;"|"&amp;Cuentas!$B$8:$B$500,0)),"Dep.Acum.Maquinas y Equipos")</f>
        <v>Dep.Acum.Maquinas y Equipos</v>
      </c>
      <c r="C42" s="67" t="str">
        <f aca="false">IFERROR(INDEX(Cuentas!$D$8:$D$500,MATCH($B$4&amp;"|"&amp;A42,Cuentas!$A$8:$A$500&amp;"|"&amp;Cuentas!$B$8:$B$500,0)),"PASIVO")</f>
        <v>PASIVO</v>
      </c>
      <c r="D42" s="67" t="str">
        <f aca="false">IF(OR(C42="ACTIVO",C42="PERDIDA"),"Deudor","Acreedor")</f>
        <v>Acreedor</v>
      </c>
      <c r="E42" s="90" t="n">
        <f aca="false">SUMPRODUCT(('Libro Diario'!$A$10:$A$5000=$B$4)*('Libro Diario'!$E$10:$E$5000=A42)*(YEAR('Libro Diario'!$C$10:$C$5000)=$E$4)*('Libro Diario'!$H$10:$H$5000))</f>
        <v>0</v>
      </c>
      <c r="F42" s="90" t="n">
        <f aca="false">SUMPRODUCT(('Libro Diario'!$A$10:$A$5000=$B$4)*('Libro Diario'!$E$10:$E$5000=A42)*(YEAR('Libro Diario'!$C$10:$C$5000)=$E$4)*('Libro Diario'!$I$10:$I$5000))</f>
        <v>0</v>
      </c>
      <c r="G42" s="90" t="str">
        <f aca="false">IF(E42&gt;F42,E42-F42,"")</f>
        <v/>
      </c>
      <c r="H42" s="90" t="str">
        <f aca="false">IF(F42&gt;E42,F42-E42,"")</f>
        <v/>
      </c>
      <c r="I42" s="91" t="n">
        <f aca="false">IF(OR(C42="ACTIVO",C42="PERDIDA"),E42-F42,F42-E42)</f>
        <v>0</v>
      </c>
    </row>
    <row r="43" customFormat="false" ht="18" hidden="false" customHeight="true" outlineLevel="0" collapsed="false">
      <c r="A43" s="92" t="n">
        <v>1202007</v>
      </c>
      <c r="B43" s="54" t="str">
        <f aca="false">IFERROR(INDEX(Cuentas!$C$8:$C$500,MATCH($B$4&amp;"|"&amp;A43,Cuentas!$A$8:$A$500&amp;"|"&amp;Cuentas!$B$8:$B$500,0)),"Maquinarias y Equipos en Leasing")</f>
        <v>Maquinarias y Equipos en Leasing</v>
      </c>
      <c r="C43" s="69" t="str">
        <f aca="false">IFERROR(INDEX(Cuentas!$D$8:$D$500,MATCH($B$4&amp;"|"&amp;A43,Cuentas!$A$8:$A$500&amp;"|"&amp;Cuentas!$B$8:$B$500,0)),"ACTIVO")</f>
        <v>ACTIVO</v>
      </c>
      <c r="D43" s="69" t="str">
        <f aca="false">IF(OR(C43="ACTIVO",C43="PERDIDA"),"Deudor","Acreedor")</f>
        <v>Deudor</v>
      </c>
      <c r="E43" s="93" t="n">
        <f aca="false">SUMPRODUCT(('Libro Diario'!$A$10:$A$5000=$B$4)*('Libro Diario'!$E$10:$E$5000=A43)*(YEAR('Libro Diario'!$C$10:$C$5000)=$E$4)*('Libro Diario'!$H$10:$H$5000))</f>
        <v>0</v>
      </c>
      <c r="F43" s="93" t="n">
        <f aca="false">SUMPRODUCT(('Libro Diario'!$A$10:$A$5000=$B$4)*('Libro Diario'!$E$10:$E$5000=A43)*(YEAR('Libro Diario'!$C$10:$C$5000)=$E$4)*('Libro Diario'!$I$10:$I$5000))</f>
        <v>0</v>
      </c>
      <c r="G43" s="93" t="str">
        <f aca="false">IF(E43&gt;F43,E43-F43,"")</f>
        <v/>
      </c>
      <c r="H43" s="93" t="str">
        <f aca="false">IF(F43&gt;E43,F43-E43,"")</f>
        <v/>
      </c>
      <c r="I43" s="94" t="n">
        <f aca="false">IF(OR(C43="ACTIVO",C43="PERDIDA"),E43-F43,F43-E43)</f>
        <v>0</v>
      </c>
    </row>
    <row r="44" customFormat="false" ht="18" hidden="false" customHeight="true" outlineLevel="0" collapsed="false">
      <c r="A44" s="89" t="n">
        <v>1203001</v>
      </c>
      <c r="B44" s="55" t="str">
        <f aca="false">IFERROR(INDEX(Cuentas!$C$8:$C$500,MATCH($B$4&amp;"|"&amp;A44,Cuentas!$A$8:$A$500&amp;"|"&amp;Cuentas!$B$8:$B$500,0)),"Terrenos")</f>
        <v>Terrenos</v>
      </c>
      <c r="C44" s="67" t="str">
        <f aca="false">IFERROR(INDEX(Cuentas!$D$8:$D$500,MATCH($B$4&amp;"|"&amp;A44,Cuentas!$A$8:$A$500&amp;"|"&amp;Cuentas!$B$8:$B$500,0)),"ACTIVO")</f>
        <v>ACTIVO</v>
      </c>
      <c r="D44" s="67" t="str">
        <f aca="false">IF(OR(C44="ACTIVO",C44="PERDIDA"),"Deudor","Acreedor")</f>
        <v>Deudor</v>
      </c>
      <c r="E44" s="90" t="n">
        <f aca="false">SUMPRODUCT(('Libro Diario'!$A$10:$A$5000=$B$4)*('Libro Diario'!$E$10:$E$5000=A44)*(YEAR('Libro Diario'!$C$10:$C$5000)=$E$4)*('Libro Diario'!$H$10:$H$5000))</f>
        <v>0</v>
      </c>
      <c r="F44" s="90" t="n">
        <f aca="false">SUMPRODUCT(('Libro Diario'!$A$10:$A$5000=$B$4)*('Libro Diario'!$E$10:$E$5000=A44)*(YEAR('Libro Diario'!$C$10:$C$5000)=$E$4)*('Libro Diario'!$I$10:$I$5000))</f>
        <v>0</v>
      </c>
      <c r="G44" s="90" t="str">
        <f aca="false">IF(E44&gt;F44,E44-F44,"")</f>
        <v/>
      </c>
      <c r="H44" s="90" t="str">
        <f aca="false">IF(F44&gt;E44,F44-E44,"")</f>
        <v/>
      </c>
      <c r="I44" s="91" t="n">
        <f aca="false">IF(OR(C44="ACTIVO",C44="PERDIDA"),E44-F44,F44-E44)</f>
        <v>0</v>
      </c>
    </row>
    <row r="45" customFormat="false" ht="18" hidden="false" customHeight="true" outlineLevel="0" collapsed="false">
      <c r="A45" s="92" t="n">
        <v>1203002</v>
      </c>
      <c r="B45" s="54" t="str">
        <f aca="false">IFERROR(INDEX(Cuentas!$C$8:$C$500,MATCH($B$4&amp;"|"&amp;A45,Cuentas!$A$8:$A$500&amp;"|"&amp;Cuentas!$B$8:$B$500,0)),"Construcciones")</f>
        <v>Construcciones</v>
      </c>
      <c r="C45" s="69" t="str">
        <f aca="false">IFERROR(INDEX(Cuentas!$D$8:$D$500,MATCH($B$4&amp;"|"&amp;A45,Cuentas!$A$8:$A$500&amp;"|"&amp;Cuentas!$B$8:$B$500,0)),"ACTIVO")</f>
        <v>ACTIVO</v>
      </c>
      <c r="D45" s="69" t="str">
        <f aca="false">IF(OR(C45="ACTIVO",C45="PERDIDA"),"Deudor","Acreedor")</f>
        <v>Deudor</v>
      </c>
      <c r="E45" s="93" t="n">
        <f aca="false">SUMPRODUCT(('Libro Diario'!$A$10:$A$5000=$B$4)*('Libro Diario'!$E$10:$E$5000=A45)*(YEAR('Libro Diario'!$C$10:$C$5000)=$E$4)*('Libro Diario'!$H$10:$H$5000))</f>
        <v>0</v>
      </c>
      <c r="F45" s="93" t="n">
        <f aca="false">SUMPRODUCT(('Libro Diario'!$A$10:$A$5000=$B$4)*('Libro Diario'!$E$10:$E$5000=A45)*(YEAR('Libro Diario'!$C$10:$C$5000)=$E$4)*('Libro Diario'!$I$10:$I$5000))</f>
        <v>0</v>
      </c>
      <c r="G45" s="93" t="str">
        <f aca="false">IF(E45&gt;F45,E45-F45,"")</f>
        <v/>
      </c>
      <c r="H45" s="93" t="str">
        <f aca="false">IF(F45&gt;E45,F45-E45,"")</f>
        <v/>
      </c>
      <c r="I45" s="94" t="n">
        <f aca="false">IF(OR(C45="ACTIVO",C45="PERDIDA"),E45-F45,F45-E45)</f>
        <v>0</v>
      </c>
    </row>
    <row r="46" customFormat="false" ht="18" hidden="false" customHeight="true" outlineLevel="0" collapsed="false">
      <c r="A46" s="89" t="n">
        <v>1203003</v>
      </c>
      <c r="B46" s="55" t="str">
        <f aca="false">IFERROR(INDEX(Cuentas!$C$8:$C$500,MATCH($B$4&amp;"|"&amp;A46,Cuentas!$A$8:$A$500&amp;"|"&amp;Cuentas!$B$8:$B$500,0)),"Dep. Acum. Construcciones")</f>
        <v>Dep. Acum. Construcciones</v>
      </c>
      <c r="C46" s="67" t="str">
        <f aca="false">IFERROR(INDEX(Cuentas!$D$8:$D$500,MATCH($B$4&amp;"|"&amp;A46,Cuentas!$A$8:$A$500&amp;"|"&amp;Cuentas!$B$8:$B$500,0)),"PASIVO")</f>
        <v>PASIVO</v>
      </c>
      <c r="D46" s="67" t="str">
        <f aca="false">IF(OR(C46="ACTIVO",C46="PERDIDA"),"Deudor","Acreedor")</f>
        <v>Acreedor</v>
      </c>
      <c r="E46" s="90" t="n">
        <f aca="false">SUMPRODUCT(('Libro Diario'!$A$10:$A$5000=$B$4)*('Libro Diario'!$E$10:$E$5000=A46)*(YEAR('Libro Diario'!$C$10:$C$5000)=$E$4)*('Libro Diario'!$H$10:$H$5000))</f>
        <v>0</v>
      </c>
      <c r="F46" s="90" t="n">
        <f aca="false">SUMPRODUCT(('Libro Diario'!$A$10:$A$5000=$B$4)*('Libro Diario'!$E$10:$E$5000=A46)*(YEAR('Libro Diario'!$C$10:$C$5000)=$E$4)*('Libro Diario'!$I$10:$I$5000))</f>
        <v>0</v>
      </c>
      <c r="G46" s="90" t="str">
        <f aca="false">IF(E46&gt;F46,E46-F46,"")</f>
        <v/>
      </c>
      <c r="H46" s="90" t="str">
        <f aca="false">IF(F46&gt;E46,F46-E46,"")</f>
        <v/>
      </c>
      <c r="I46" s="91" t="n">
        <f aca="false">IF(OR(C46="ACTIVO",C46="PERDIDA"),E46-F46,F46-E46)</f>
        <v>0</v>
      </c>
    </row>
    <row r="47" customFormat="false" ht="18" hidden="false" customHeight="true" outlineLevel="0" collapsed="false">
      <c r="A47" s="92" t="n">
        <v>1204001</v>
      </c>
      <c r="B47" s="54" t="str">
        <f aca="false">IFERROR(INDEX(Cuentas!$C$8:$C$500,MATCH($B$4&amp;"|"&amp;A47,Cuentas!$A$8:$A$500&amp;"|"&amp;Cuentas!$B$8:$B$500,0)),"Muebles , Utiles e Instalaciones")</f>
        <v>Muebles , Utiles e Instalaciones</v>
      </c>
      <c r="C47" s="69" t="str">
        <f aca="false">IFERROR(INDEX(Cuentas!$D$8:$D$500,MATCH($B$4&amp;"|"&amp;A47,Cuentas!$A$8:$A$500&amp;"|"&amp;Cuentas!$B$8:$B$500,0)),"ACTIVO")</f>
        <v>ACTIVO</v>
      </c>
      <c r="D47" s="69" t="str">
        <f aca="false">IF(OR(C47="ACTIVO",C47="PERDIDA"),"Deudor","Acreedor")</f>
        <v>Deudor</v>
      </c>
      <c r="E47" s="93" t="n">
        <f aca="false">SUMPRODUCT(('Libro Diario'!$A$10:$A$5000=$B$4)*('Libro Diario'!$E$10:$E$5000=A47)*(YEAR('Libro Diario'!$C$10:$C$5000)=$E$4)*('Libro Diario'!$H$10:$H$5000))</f>
        <v>0</v>
      </c>
      <c r="F47" s="93" t="n">
        <f aca="false">SUMPRODUCT(('Libro Diario'!$A$10:$A$5000=$B$4)*('Libro Diario'!$E$10:$E$5000=A47)*(YEAR('Libro Diario'!$C$10:$C$5000)=$E$4)*('Libro Diario'!$I$10:$I$5000))</f>
        <v>0</v>
      </c>
      <c r="G47" s="93" t="str">
        <f aca="false">IF(E47&gt;F47,E47-F47,"")</f>
        <v/>
      </c>
      <c r="H47" s="93" t="str">
        <f aca="false">IF(F47&gt;E47,F47-E47,"")</f>
        <v/>
      </c>
      <c r="I47" s="94" t="n">
        <f aca="false">IF(OR(C47="ACTIVO",C47="PERDIDA"),E47-F47,F47-E47)</f>
        <v>0</v>
      </c>
    </row>
    <row r="48" customFormat="false" ht="18" hidden="false" customHeight="true" outlineLevel="0" collapsed="false">
      <c r="A48" s="89" t="n">
        <v>1204009</v>
      </c>
      <c r="B48" s="55" t="str">
        <f aca="false">IFERROR(INDEX(Cuentas!$C$8:$C$500,MATCH($B$4&amp;"|"&amp;A48,Cuentas!$A$8:$A$500&amp;"|"&amp;Cuentas!$B$8:$B$500,0)),"Dep. Acum. Muebles, Útiles e Instalaciones")</f>
        <v>Dep. Acum. Muebles, Útiles e Instalaciones</v>
      </c>
      <c r="C48" s="67" t="str">
        <f aca="false">IFERROR(INDEX(Cuentas!$D$8:$D$500,MATCH($B$4&amp;"|"&amp;A48,Cuentas!$A$8:$A$500&amp;"|"&amp;Cuentas!$B$8:$B$500,0)),"PASIVO")</f>
        <v>PASIVO</v>
      </c>
      <c r="D48" s="67" t="str">
        <f aca="false">IF(OR(C48="ACTIVO",C48="PERDIDA"),"Deudor","Acreedor")</f>
        <v>Acreedor</v>
      </c>
      <c r="E48" s="90" t="n">
        <f aca="false">SUMPRODUCT(('Libro Diario'!$A$10:$A$5000=$B$4)*('Libro Diario'!$E$10:$E$5000=A48)*(YEAR('Libro Diario'!$C$10:$C$5000)=$E$4)*('Libro Diario'!$H$10:$H$5000))</f>
        <v>0</v>
      </c>
      <c r="F48" s="90" t="n">
        <f aca="false">SUMPRODUCT(('Libro Diario'!$A$10:$A$5000=$B$4)*('Libro Diario'!$E$10:$E$5000=A48)*(YEAR('Libro Diario'!$C$10:$C$5000)=$E$4)*('Libro Diario'!$I$10:$I$5000))</f>
        <v>0</v>
      </c>
      <c r="G48" s="90" t="str">
        <f aca="false">IF(E48&gt;F48,E48-F48,"")</f>
        <v/>
      </c>
      <c r="H48" s="90" t="str">
        <f aca="false">IF(F48&gt;E48,F48-E48,"")</f>
        <v/>
      </c>
      <c r="I48" s="91" t="n">
        <f aca="false">IF(OR(C48="ACTIVO",C48="PERDIDA"),E48-F48,F48-E48)</f>
        <v>0</v>
      </c>
    </row>
    <row r="49" customFormat="false" ht="18" hidden="false" customHeight="true" outlineLevel="0" collapsed="false">
      <c r="A49" s="92" t="n">
        <v>1205001</v>
      </c>
      <c r="B49" s="54" t="str">
        <f aca="false">IFERROR(INDEX(Cuentas!$C$8:$C$500,MATCH($B$4&amp;"|"&amp;A49,Cuentas!$A$8:$A$500&amp;"|"&amp;Cuentas!$B$8:$B$500,0)),"Repuestos e Insumos")</f>
        <v>Repuestos e Insumos</v>
      </c>
      <c r="C49" s="69" t="str">
        <f aca="false">IFERROR(INDEX(Cuentas!$D$8:$D$500,MATCH($B$4&amp;"|"&amp;A49,Cuentas!$A$8:$A$500&amp;"|"&amp;Cuentas!$B$8:$B$500,0)),"ACTIVO")</f>
        <v>ACTIVO</v>
      </c>
      <c r="D49" s="69" t="str">
        <f aca="false">IF(OR(C49="ACTIVO",C49="PERDIDA"),"Deudor","Acreedor")</f>
        <v>Deudor</v>
      </c>
      <c r="E49" s="93" t="n">
        <f aca="false">SUMPRODUCT(('Libro Diario'!$A$10:$A$5000=$B$4)*('Libro Diario'!$E$10:$E$5000=A49)*(YEAR('Libro Diario'!$C$10:$C$5000)=$E$4)*('Libro Diario'!$H$10:$H$5000))</f>
        <v>0</v>
      </c>
      <c r="F49" s="93" t="n">
        <f aca="false">SUMPRODUCT(('Libro Diario'!$A$10:$A$5000=$B$4)*('Libro Diario'!$E$10:$E$5000=A49)*(YEAR('Libro Diario'!$C$10:$C$5000)=$E$4)*('Libro Diario'!$I$10:$I$5000))</f>
        <v>0</v>
      </c>
      <c r="G49" s="93" t="str">
        <f aca="false">IF(E49&gt;F49,E49-F49,"")</f>
        <v/>
      </c>
      <c r="H49" s="93" t="str">
        <f aca="false">IF(F49&gt;E49,F49-E49,"")</f>
        <v/>
      </c>
      <c r="I49" s="94" t="n">
        <f aca="false">IF(OR(C49="ACTIVO",C49="PERDIDA"),E49-F49,F49-E49)</f>
        <v>0</v>
      </c>
    </row>
    <row r="50" customFormat="false" ht="18" hidden="false" customHeight="true" outlineLevel="0" collapsed="false">
      <c r="A50" s="89" t="n">
        <v>1301001</v>
      </c>
      <c r="B50" s="55" t="str">
        <f aca="false">IFERROR(INDEX(Cuentas!$C$8:$C$500,MATCH($B$4&amp;"|"&amp;A50,Cuentas!$A$8:$A$500&amp;"|"&amp;Cuentas!$B$8:$B$500,0)),"Intereses Diferidos Largo Plazo")</f>
        <v>Intereses Diferidos Largo Plazo</v>
      </c>
      <c r="C50" s="67" t="str">
        <f aca="false">IFERROR(INDEX(Cuentas!$D$8:$D$500,MATCH($B$4&amp;"|"&amp;A50,Cuentas!$A$8:$A$500&amp;"|"&amp;Cuentas!$B$8:$B$500,0)),"ACTIVO")</f>
        <v>ACTIVO</v>
      </c>
      <c r="D50" s="67" t="str">
        <f aca="false">IF(OR(C50="ACTIVO",C50="PERDIDA"),"Deudor","Acreedor")</f>
        <v>Deudor</v>
      </c>
      <c r="E50" s="90" t="n">
        <f aca="false">SUMPRODUCT(('Libro Diario'!$A$10:$A$5000=$B$4)*('Libro Diario'!$E$10:$E$5000=A50)*(YEAR('Libro Diario'!$C$10:$C$5000)=$E$4)*('Libro Diario'!$H$10:$H$5000))</f>
        <v>0</v>
      </c>
      <c r="F50" s="90" t="n">
        <f aca="false">SUMPRODUCT(('Libro Diario'!$A$10:$A$5000=$B$4)*('Libro Diario'!$E$10:$E$5000=A50)*(YEAR('Libro Diario'!$C$10:$C$5000)=$E$4)*('Libro Diario'!$I$10:$I$5000))</f>
        <v>0</v>
      </c>
      <c r="G50" s="90" t="str">
        <f aca="false">IF(E50&gt;F50,E50-F50,"")</f>
        <v/>
      </c>
      <c r="H50" s="90" t="str">
        <f aca="false">IF(F50&gt;E50,F50-E50,"")</f>
        <v/>
      </c>
      <c r="I50" s="91" t="n">
        <f aca="false">IF(OR(C50="ACTIVO",C50="PERDIDA"),E50-F50,F50-E50)</f>
        <v>0</v>
      </c>
    </row>
    <row r="51" customFormat="false" ht="18" hidden="false" customHeight="true" outlineLevel="0" collapsed="false">
      <c r="A51" s="92" t="n">
        <v>1303001</v>
      </c>
      <c r="B51" s="54" t="str">
        <f aca="false">IFERROR(INDEX(Cuentas!$C$8:$C$500,MATCH($B$4&amp;"|"&amp;A51,Cuentas!$A$8:$A$500&amp;"|"&amp;Cuentas!$B$8:$B$500,0)),"Derechos Soc. Forestal Los Cipreces Ltda.")</f>
        <v>Derechos Soc. Forestal Los Cipreces Ltda.</v>
      </c>
      <c r="C51" s="69" t="str">
        <f aca="false">IFERROR(INDEX(Cuentas!$D$8:$D$500,MATCH($B$4&amp;"|"&amp;A51,Cuentas!$A$8:$A$500&amp;"|"&amp;Cuentas!$B$8:$B$500,0)),"ACTIVO")</f>
        <v>ACTIVO</v>
      </c>
      <c r="D51" s="69" t="str">
        <f aca="false">IF(OR(C51="ACTIVO",C51="PERDIDA"),"Deudor","Acreedor")</f>
        <v>Deudor</v>
      </c>
      <c r="E51" s="93" t="n">
        <f aca="false">SUMPRODUCT(('Libro Diario'!$A$10:$A$5000=$B$4)*('Libro Diario'!$E$10:$E$5000=A51)*(YEAR('Libro Diario'!$C$10:$C$5000)=$E$4)*('Libro Diario'!$H$10:$H$5000))</f>
        <v>0</v>
      </c>
      <c r="F51" s="93" t="n">
        <f aca="false">SUMPRODUCT(('Libro Diario'!$A$10:$A$5000=$B$4)*('Libro Diario'!$E$10:$E$5000=A51)*(YEAR('Libro Diario'!$C$10:$C$5000)=$E$4)*('Libro Diario'!$I$10:$I$5000))</f>
        <v>0</v>
      </c>
      <c r="G51" s="93" t="str">
        <f aca="false">IF(E51&gt;F51,E51-F51,"")</f>
        <v/>
      </c>
      <c r="H51" s="93" t="str">
        <f aca="false">IF(F51&gt;E51,F51-E51,"")</f>
        <v/>
      </c>
      <c r="I51" s="94" t="n">
        <f aca="false">IF(OR(C51="ACTIVO",C51="PERDIDA"),E51-F51,F51-E51)</f>
        <v>0</v>
      </c>
    </row>
    <row r="52" customFormat="false" ht="18" hidden="false" customHeight="true" outlineLevel="0" collapsed="false">
      <c r="A52" s="89" t="n">
        <v>2102001</v>
      </c>
      <c r="B52" s="55" t="str">
        <f aca="false">IFERROR(INDEX(Cuentas!$C$8:$C$500,MATCH($B$4&amp;"|"&amp;A52,Cuentas!$A$8:$A$500&amp;"|"&amp;Cuentas!$B$8:$B$500,0)),"Proveedores")</f>
        <v>Proveedores</v>
      </c>
      <c r="C52" s="67" t="str">
        <f aca="false">IFERROR(INDEX(Cuentas!$D$8:$D$500,MATCH($B$4&amp;"|"&amp;A52,Cuentas!$A$8:$A$500&amp;"|"&amp;Cuentas!$B$8:$B$500,0)),"PASIVO")</f>
        <v>PASIVO</v>
      </c>
      <c r="D52" s="67" t="str">
        <f aca="false">IF(OR(C52="ACTIVO",C52="PERDIDA"),"Deudor","Acreedor")</f>
        <v>Acreedor</v>
      </c>
      <c r="E52" s="90" t="n">
        <f aca="false">SUMPRODUCT(('Libro Diario'!$A$10:$A$5000=$B$4)*('Libro Diario'!$E$10:$E$5000=A52)*(YEAR('Libro Diario'!$C$10:$C$5000)=$E$4)*('Libro Diario'!$H$10:$H$5000))</f>
        <v>0</v>
      </c>
      <c r="F52" s="90" t="n">
        <f aca="false">SUMPRODUCT(('Libro Diario'!$A$10:$A$5000=$B$4)*('Libro Diario'!$E$10:$E$5000=A52)*(YEAR('Libro Diario'!$C$10:$C$5000)=$E$4)*('Libro Diario'!$I$10:$I$5000))</f>
        <v>0</v>
      </c>
      <c r="G52" s="90" t="str">
        <f aca="false">IF(E52&gt;F52,E52-F52,"")</f>
        <v/>
      </c>
      <c r="H52" s="90" t="str">
        <f aca="false">IF(F52&gt;E52,F52-E52,"")</f>
        <v/>
      </c>
      <c r="I52" s="91" t="n">
        <f aca="false">IF(OR(C52="ACTIVO",C52="PERDIDA"),E52-F52,F52-E52)</f>
        <v>0</v>
      </c>
    </row>
    <row r="53" customFormat="false" ht="18" hidden="false" customHeight="true" outlineLevel="0" collapsed="false">
      <c r="A53" s="92" t="n">
        <v>2103001</v>
      </c>
      <c r="B53" s="54" t="str">
        <f aca="false">IFERROR(INDEX(Cuentas!$C$8:$C$500,MATCH($B$4&amp;"|"&amp;A53,Cuentas!$A$8:$A$500&amp;"|"&amp;Cuentas!$B$8:$B$500,0)),"Documentos por Pagar-Vehiculos")</f>
        <v>Documentos por Pagar-Vehiculos</v>
      </c>
      <c r="C53" s="69" t="str">
        <f aca="false">IFERROR(INDEX(Cuentas!$D$8:$D$500,MATCH($B$4&amp;"|"&amp;A53,Cuentas!$A$8:$A$500&amp;"|"&amp;Cuentas!$B$8:$B$500,0)),"PASIVO")</f>
        <v>PASIVO</v>
      </c>
      <c r="D53" s="69" t="str">
        <f aca="false">IF(OR(C53="ACTIVO",C53="PERDIDA"),"Deudor","Acreedor")</f>
        <v>Acreedor</v>
      </c>
      <c r="E53" s="93" t="n">
        <f aca="false">SUMPRODUCT(('Libro Diario'!$A$10:$A$5000=$B$4)*('Libro Diario'!$E$10:$E$5000=A53)*(YEAR('Libro Diario'!$C$10:$C$5000)=$E$4)*('Libro Diario'!$H$10:$H$5000))</f>
        <v>0</v>
      </c>
      <c r="F53" s="93" t="n">
        <f aca="false">SUMPRODUCT(('Libro Diario'!$A$10:$A$5000=$B$4)*('Libro Diario'!$E$10:$E$5000=A53)*(YEAR('Libro Diario'!$C$10:$C$5000)=$E$4)*('Libro Diario'!$I$10:$I$5000))</f>
        <v>0</v>
      </c>
      <c r="G53" s="93" t="str">
        <f aca="false">IF(E53&gt;F53,E53-F53,"")</f>
        <v/>
      </c>
      <c r="H53" s="93" t="str">
        <f aca="false">IF(F53&gt;E53,F53-E53,"")</f>
        <v/>
      </c>
      <c r="I53" s="94" t="n">
        <f aca="false">IF(OR(C53="ACTIVO",C53="PERDIDA"),E53-F53,F53-E53)</f>
        <v>0</v>
      </c>
    </row>
    <row r="54" customFormat="false" ht="18" hidden="false" customHeight="true" outlineLevel="0" collapsed="false">
      <c r="A54" s="89" t="n">
        <v>2104001</v>
      </c>
      <c r="B54" s="55" t="str">
        <f aca="false">IFERROR(INDEX(Cuentas!$C$8:$C$500,MATCH($B$4&amp;"|"&amp;A54,Cuentas!$A$8:$A$500&amp;"|"&amp;Cuentas!$B$8:$B$500,0)),"Acreedores Varios")</f>
        <v>Provisión Vacaciones</v>
      </c>
      <c r="C54" s="67" t="str">
        <f aca="false">IFERROR(INDEX(Cuentas!$D$8:$D$500,MATCH($B$4&amp;"|"&amp;A54,Cuentas!$A$8:$A$500&amp;"|"&amp;Cuentas!$B$8:$B$500,0)),"PASIVO")</f>
        <v>PASIVO</v>
      </c>
      <c r="D54" s="67" t="str">
        <f aca="false">IF(OR(C54="ACTIVO",C54="PERDIDA"),"Deudor","Acreedor")</f>
        <v>Acreedor</v>
      </c>
      <c r="E54" s="90" t="n">
        <f aca="false">SUMPRODUCT(('Libro Diario'!$A$10:$A$5000=$B$4)*('Libro Diario'!$E$10:$E$5000=A54)*(YEAR('Libro Diario'!$C$10:$C$5000)=$E$4)*('Libro Diario'!$H$10:$H$5000))</f>
        <v>0</v>
      </c>
      <c r="F54" s="90" t="n">
        <f aca="false">SUMPRODUCT(('Libro Diario'!$A$10:$A$5000=$B$4)*('Libro Diario'!$E$10:$E$5000=A54)*(YEAR('Libro Diario'!$C$10:$C$5000)=$E$4)*('Libro Diario'!$I$10:$I$5000))</f>
        <v>0</v>
      </c>
      <c r="G54" s="90" t="str">
        <f aca="false">IF(E54&gt;F54,E54-F54,"")</f>
        <v/>
      </c>
      <c r="H54" s="90" t="str">
        <f aca="false">IF(F54&gt;E54,F54-E54,"")</f>
        <v/>
      </c>
      <c r="I54" s="91" t="n">
        <f aca="false">IF(OR(C54="ACTIVO",C54="PERDIDA"),E54-F54,F54-E54)</f>
        <v>0</v>
      </c>
    </row>
    <row r="55" customFormat="false" ht="18" hidden="false" customHeight="true" outlineLevel="0" collapsed="false">
      <c r="A55" s="92" t="n">
        <v>2104003</v>
      </c>
      <c r="B55" s="54" t="str">
        <f aca="false">IFERROR(INDEX(Cuentas!$C$8:$C$500,MATCH($B$4&amp;"|"&amp;A55,Cuentas!$A$8:$A$500&amp;"|"&amp;Cuentas!$B$8:$B$500,0)),"Doctos. Por Pagar")</f>
        <v>Doctos. Por Pagar</v>
      </c>
      <c r="C55" s="69" t="str">
        <f aca="false">IFERROR(INDEX(Cuentas!$D$8:$D$500,MATCH($B$4&amp;"|"&amp;A55,Cuentas!$A$8:$A$500&amp;"|"&amp;Cuentas!$B$8:$B$500,0)),"PASIVO")</f>
        <v>PASIVO</v>
      </c>
      <c r="D55" s="69" t="str">
        <f aca="false">IF(OR(C55="ACTIVO",C55="PERDIDA"),"Deudor","Acreedor")</f>
        <v>Acreedor</v>
      </c>
      <c r="E55" s="93" t="n">
        <f aca="false">SUMPRODUCT(('Libro Diario'!$A$10:$A$5000=$B$4)*('Libro Diario'!$E$10:$E$5000=A55)*(YEAR('Libro Diario'!$C$10:$C$5000)=$E$4)*('Libro Diario'!$H$10:$H$5000))</f>
        <v>0</v>
      </c>
      <c r="F55" s="93" t="n">
        <f aca="false">SUMPRODUCT(('Libro Diario'!$A$10:$A$5000=$B$4)*('Libro Diario'!$E$10:$E$5000=A55)*(YEAR('Libro Diario'!$C$10:$C$5000)=$E$4)*('Libro Diario'!$I$10:$I$5000))</f>
        <v>0</v>
      </c>
      <c r="G55" s="93" t="str">
        <f aca="false">IF(E55&gt;F55,E55-F55,"")</f>
        <v/>
      </c>
      <c r="H55" s="93" t="str">
        <f aca="false">IF(F55&gt;E55,F55-E55,"")</f>
        <v/>
      </c>
      <c r="I55" s="94" t="n">
        <f aca="false">IF(OR(C55="ACTIVO",C55="PERDIDA"),E55-F55,F55-E55)</f>
        <v>0</v>
      </c>
    </row>
    <row r="56" customFormat="false" ht="18" hidden="false" customHeight="true" outlineLevel="0" collapsed="false">
      <c r="A56" s="89" t="n">
        <v>2105003</v>
      </c>
      <c r="B56" s="55" t="str">
        <f aca="false">IFERROR(INDEX(Cuentas!$C$8:$C$500,MATCH($B$4&amp;"|"&amp;A56,Cuentas!$A$8:$A$500&amp;"|"&amp;Cuentas!$B$8:$B$500,0)),"Impuesto Único a los trabajadores")</f>
        <v>Impuesto Único a los trabajadores</v>
      </c>
      <c r="C56" s="67" t="str">
        <f aca="false">IFERROR(INDEX(Cuentas!$D$8:$D$500,MATCH($B$4&amp;"|"&amp;A56,Cuentas!$A$8:$A$500&amp;"|"&amp;Cuentas!$B$8:$B$500,0)),"PASIVO")</f>
        <v>PASIVO</v>
      </c>
      <c r="D56" s="67" t="str">
        <f aca="false">IF(OR(C56="ACTIVO",C56="PERDIDA"),"Deudor","Acreedor")</f>
        <v>Acreedor</v>
      </c>
      <c r="E56" s="90" t="n">
        <f aca="false">SUMPRODUCT(('Libro Diario'!$A$10:$A$5000=$B$4)*('Libro Diario'!$E$10:$E$5000=A56)*(YEAR('Libro Diario'!$C$10:$C$5000)=$E$4)*('Libro Diario'!$H$10:$H$5000))</f>
        <v>0</v>
      </c>
      <c r="F56" s="90" t="n">
        <f aca="false">SUMPRODUCT(('Libro Diario'!$A$10:$A$5000=$B$4)*('Libro Diario'!$E$10:$E$5000=A56)*(YEAR('Libro Diario'!$C$10:$C$5000)=$E$4)*('Libro Diario'!$I$10:$I$5000))</f>
        <v>0</v>
      </c>
      <c r="G56" s="90" t="str">
        <f aca="false">IF(E56&gt;F56,E56-F56,"")</f>
        <v/>
      </c>
      <c r="H56" s="90" t="str">
        <f aca="false">IF(F56&gt;E56,F56-E56,"")</f>
        <v/>
      </c>
      <c r="I56" s="91" t="n">
        <f aca="false">IF(OR(C56="ACTIVO",C56="PERDIDA"),E56-F56,F56-E56)</f>
        <v>0</v>
      </c>
    </row>
    <row r="57" customFormat="false" ht="18" hidden="false" customHeight="true" outlineLevel="0" collapsed="false">
      <c r="A57" s="92" t="n">
        <v>2105004</v>
      </c>
      <c r="B57" s="54" t="str">
        <f aca="false">IFERROR(INDEX(Cuentas!$C$8:$C$500,MATCH($B$4&amp;"|"&amp;A57,Cuentas!$A$8:$A$500&amp;"|"&amp;Cuentas!$B$8:$B$500,0)),"PPM por Pagar")</f>
        <v>PPM por Pagar</v>
      </c>
      <c r="C57" s="69" t="str">
        <f aca="false">IFERROR(INDEX(Cuentas!$D$8:$D$500,MATCH($B$4&amp;"|"&amp;A57,Cuentas!$A$8:$A$500&amp;"|"&amp;Cuentas!$B$8:$B$500,0)),"PASIVO")</f>
        <v>PASIVO</v>
      </c>
      <c r="D57" s="69" t="str">
        <f aca="false">IF(OR(C57="ACTIVO",C57="PERDIDA"),"Deudor","Acreedor")</f>
        <v>Acreedor</v>
      </c>
      <c r="E57" s="93" t="n">
        <f aca="false">SUMPRODUCT(('Libro Diario'!$A$10:$A$5000=$B$4)*('Libro Diario'!$E$10:$E$5000=A57)*(YEAR('Libro Diario'!$C$10:$C$5000)=$E$4)*('Libro Diario'!$H$10:$H$5000))</f>
        <v>0</v>
      </c>
      <c r="F57" s="93" t="n">
        <f aca="false">SUMPRODUCT(('Libro Diario'!$A$10:$A$5000=$B$4)*('Libro Diario'!$E$10:$E$5000=A57)*(YEAR('Libro Diario'!$C$10:$C$5000)=$E$4)*('Libro Diario'!$I$10:$I$5000))</f>
        <v>0</v>
      </c>
      <c r="G57" s="93" t="str">
        <f aca="false">IF(E57&gt;F57,E57-F57,"")</f>
        <v/>
      </c>
      <c r="H57" s="93" t="str">
        <f aca="false">IF(F57&gt;E57,F57-E57,"")</f>
        <v/>
      </c>
      <c r="I57" s="94" t="n">
        <f aca="false">IF(OR(C57="ACTIVO",C57="PERDIDA"),E57-F57,F57-E57)</f>
        <v>0</v>
      </c>
    </row>
    <row r="58" customFormat="false" ht="18" hidden="false" customHeight="true" outlineLevel="0" collapsed="false">
      <c r="A58" s="89" t="n">
        <v>2105005</v>
      </c>
      <c r="B58" s="55" t="str">
        <f aca="false">IFERROR(INDEX(Cuentas!$C$8:$C$500,MATCH($B$4&amp;"|"&amp;A58,Cuentas!$A$8:$A$500&amp;"|"&amp;Cuentas!$B$8:$B$500,0)),"Provision Impto. Renta")</f>
        <v>Provision Impto. Renta</v>
      </c>
      <c r="C58" s="67" t="str">
        <f aca="false">IFERROR(INDEX(Cuentas!$D$8:$D$500,MATCH($B$4&amp;"|"&amp;A58,Cuentas!$A$8:$A$500&amp;"|"&amp;Cuentas!$B$8:$B$500,0)),"PASIVO")</f>
        <v>PASIVO</v>
      </c>
      <c r="D58" s="67" t="str">
        <f aca="false">IF(OR(C58="ACTIVO",C58="PERDIDA"),"Deudor","Acreedor")</f>
        <v>Acreedor</v>
      </c>
      <c r="E58" s="90" t="n">
        <f aca="false">SUMPRODUCT(('Libro Diario'!$A$10:$A$5000=$B$4)*('Libro Diario'!$E$10:$E$5000=A58)*(YEAR('Libro Diario'!$C$10:$C$5000)=$E$4)*('Libro Diario'!$H$10:$H$5000))</f>
        <v>0</v>
      </c>
      <c r="F58" s="90" t="n">
        <f aca="false">SUMPRODUCT(('Libro Diario'!$A$10:$A$5000=$B$4)*('Libro Diario'!$E$10:$E$5000=A58)*(YEAR('Libro Diario'!$C$10:$C$5000)=$E$4)*('Libro Diario'!$I$10:$I$5000))</f>
        <v>0</v>
      </c>
      <c r="G58" s="90" t="str">
        <f aca="false">IF(E58&gt;F58,E58-F58,"")</f>
        <v/>
      </c>
      <c r="H58" s="90" t="str">
        <f aca="false">IF(F58&gt;E58,F58-E58,"")</f>
        <v/>
      </c>
      <c r="I58" s="91" t="n">
        <f aca="false">IF(OR(C58="ACTIVO",C58="PERDIDA"),E58-F58,F58-E58)</f>
        <v>0</v>
      </c>
    </row>
    <row r="59" customFormat="false" ht="18" hidden="false" customHeight="true" outlineLevel="0" collapsed="false">
      <c r="A59" s="92" t="n">
        <v>2105006</v>
      </c>
      <c r="B59" s="54" t="str">
        <f aca="false">IFERROR(INDEX(Cuentas!$C$8:$C$500,MATCH($B$4&amp;"|"&amp;A59,Cuentas!$A$8:$A$500&amp;"|"&amp;Cuentas!$B$8:$B$500,0)),"Contribuciones por Pagar")</f>
        <v>Contribuciones por Pagar</v>
      </c>
      <c r="C59" s="69" t="str">
        <f aca="false">IFERROR(INDEX(Cuentas!$D$8:$D$500,MATCH($B$4&amp;"|"&amp;A59,Cuentas!$A$8:$A$500&amp;"|"&amp;Cuentas!$B$8:$B$500,0)),"PASIVO")</f>
        <v>PASIVO</v>
      </c>
      <c r="D59" s="69" t="str">
        <f aca="false">IF(OR(C59="ACTIVO",C59="PERDIDA"),"Deudor","Acreedor")</f>
        <v>Acreedor</v>
      </c>
      <c r="E59" s="93" t="n">
        <f aca="false">SUMPRODUCT(('Libro Diario'!$A$10:$A$5000=$B$4)*('Libro Diario'!$E$10:$E$5000=A59)*(YEAR('Libro Diario'!$C$10:$C$5000)=$E$4)*('Libro Diario'!$H$10:$H$5000))</f>
        <v>0</v>
      </c>
      <c r="F59" s="93" t="n">
        <f aca="false">SUMPRODUCT(('Libro Diario'!$A$10:$A$5000=$B$4)*('Libro Diario'!$E$10:$E$5000=A59)*(YEAR('Libro Diario'!$C$10:$C$5000)=$E$4)*('Libro Diario'!$I$10:$I$5000))</f>
        <v>0</v>
      </c>
      <c r="G59" s="93" t="str">
        <f aca="false">IF(E59&gt;F59,E59-F59,"")</f>
        <v/>
      </c>
      <c r="H59" s="93" t="str">
        <f aca="false">IF(F59&gt;E59,F59-E59,"")</f>
        <v/>
      </c>
      <c r="I59" s="94" t="n">
        <f aca="false">IF(OR(C59="ACTIVO",C59="PERDIDA"),E59-F59,F59-E59)</f>
        <v>0</v>
      </c>
    </row>
    <row r="60" customFormat="false" ht="18" hidden="false" customHeight="true" outlineLevel="0" collapsed="false">
      <c r="A60" s="89" t="n">
        <v>2105101</v>
      </c>
      <c r="B60" s="55" t="str">
        <f aca="false">IFERROR(INDEX(Cuentas!$C$8:$C$500,MATCH($B$4&amp;"|"&amp;A60,Cuentas!$A$8:$A$500&amp;"|"&amp;Cuentas!$B$8:$B$500,0)),"IVA Débito Fiscal 19%")</f>
        <v>IVA Débito Fiscal 19%</v>
      </c>
      <c r="C60" s="67" t="str">
        <f aca="false">IFERROR(INDEX(Cuentas!$D$8:$D$500,MATCH($B$4&amp;"|"&amp;A60,Cuentas!$A$8:$A$500&amp;"|"&amp;Cuentas!$B$8:$B$500,0)),"PASIVO")</f>
        <v>PASIVO</v>
      </c>
      <c r="D60" s="67" t="str">
        <f aca="false">IF(OR(C60="ACTIVO",C60="PERDIDA"),"Deudor","Acreedor")</f>
        <v>Acreedor</v>
      </c>
      <c r="E60" s="90" t="n">
        <f aca="false">SUMPRODUCT(('Libro Diario'!$A$10:$A$5000=$B$4)*('Libro Diario'!$E$10:$E$5000=A60)*(YEAR('Libro Diario'!$C$10:$C$5000)=$E$4)*('Libro Diario'!$H$10:$H$5000))</f>
        <v>0</v>
      </c>
      <c r="F60" s="90" t="n">
        <f aca="false">SUMPRODUCT(('Libro Diario'!$A$10:$A$5000=$B$4)*('Libro Diario'!$E$10:$E$5000=A60)*(YEAR('Libro Diario'!$C$10:$C$5000)=$E$4)*('Libro Diario'!$I$10:$I$5000))</f>
        <v>0</v>
      </c>
      <c r="G60" s="90" t="str">
        <f aca="false">IF(E60&gt;F60,E60-F60,"")</f>
        <v/>
      </c>
      <c r="H60" s="90" t="str">
        <f aca="false">IF(F60&gt;E60,F60-E60,"")</f>
        <v/>
      </c>
      <c r="I60" s="91" t="n">
        <f aca="false">IF(OR(C60="ACTIVO",C60="PERDIDA"),E60-F60,F60-E60)</f>
        <v>0</v>
      </c>
    </row>
    <row r="61" customFormat="false" ht="18" hidden="false" customHeight="true" outlineLevel="0" collapsed="false">
      <c r="A61" s="92" t="n">
        <v>2105102</v>
      </c>
      <c r="B61" s="54" t="str">
        <f aca="false">IFERROR(INDEX(Cuentas!$C$8:$C$500,MATCH($B$4&amp;"|"&amp;A61,Cuentas!$A$8:$A$500&amp;"|"&amp;Cuentas!$B$8:$B$500,0)),"IVA Debito Fiscal no Ret 11%")</f>
        <v>IVA Debito Fiscal no Ret 11%</v>
      </c>
      <c r="C61" s="69" t="str">
        <f aca="false">IFERROR(INDEX(Cuentas!$D$8:$D$500,MATCH($B$4&amp;"|"&amp;A61,Cuentas!$A$8:$A$500&amp;"|"&amp;Cuentas!$B$8:$B$500,0)),"PASIVO")</f>
        <v>PASIVO</v>
      </c>
      <c r="D61" s="69" t="str">
        <f aca="false">IF(OR(C61="ACTIVO",C61="PERDIDA"),"Deudor","Acreedor")</f>
        <v>Acreedor</v>
      </c>
      <c r="E61" s="93" t="n">
        <f aca="false">SUMPRODUCT(('Libro Diario'!$A$10:$A$5000=$B$4)*('Libro Diario'!$E$10:$E$5000=A61)*(YEAR('Libro Diario'!$C$10:$C$5000)=$E$4)*('Libro Diario'!$H$10:$H$5000))</f>
        <v>0</v>
      </c>
      <c r="F61" s="93" t="n">
        <f aca="false">SUMPRODUCT(('Libro Diario'!$A$10:$A$5000=$B$4)*('Libro Diario'!$E$10:$E$5000=A61)*(YEAR('Libro Diario'!$C$10:$C$5000)=$E$4)*('Libro Diario'!$I$10:$I$5000))</f>
        <v>0</v>
      </c>
      <c r="G61" s="93" t="str">
        <f aca="false">IF(E61&gt;F61,E61-F61,"")</f>
        <v/>
      </c>
      <c r="H61" s="93" t="str">
        <f aca="false">IF(F61&gt;E61,F61-E61,"")</f>
        <v/>
      </c>
      <c r="I61" s="94" t="n">
        <f aca="false">IF(OR(C61="ACTIVO",C61="PERDIDA"),E61-F61,F61-E61)</f>
        <v>0</v>
      </c>
    </row>
    <row r="62" customFormat="false" ht="18" hidden="false" customHeight="true" outlineLevel="0" collapsed="false">
      <c r="A62" s="89" t="n">
        <v>2105201</v>
      </c>
      <c r="B62" s="55" t="str">
        <f aca="false">IFERROR(INDEX(Cuentas!$C$8:$C$500,MATCH($B$4&amp;"|"&amp;A62,Cuentas!$A$8:$A$500&amp;"|"&amp;Cuentas!$B$8:$B$500,0)),"Retencion 2ª Categoria (10 %)")</f>
        <v>Retencion 2ª Categoria (10 %)</v>
      </c>
      <c r="C62" s="67" t="str">
        <f aca="false">IFERROR(INDEX(Cuentas!$D$8:$D$500,MATCH($B$4&amp;"|"&amp;A62,Cuentas!$A$8:$A$500&amp;"|"&amp;Cuentas!$B$8:$B$500,0)),"PASIVO")</f>
        <v>PASIVO</v>
      </c>
      <c r="D62" s="67" t="str">
        <f aca="false">IF(OR(C62="ACTIVO",C62="PERDIDA"),"Deudor","Acreedor")</f>
        <v>Acreedor</v>
      </c>
      <c r="E62" s="90" t="n">
        <f aca="false">SUMPRODUCT(('Libro Diario'!$A$10:$A$5000=$B$4)*('Libro Diario'!$E$10:$E$5000=A62)*(YEAR('Libro Diario'!$C$10:$C$5000)=$E$4)*('Libro Diario'!$H$10:$H$5000))</f>
        <v>0</v>
      </c>
      <c r="F62" s="90" t="n">
        <f aca="false">SUMPRODUCT(('Libro Diario'!$A$10:$A$5000=$B$4)*('Libro Diario'!$E$10:$E$5000=A62)*(YEAR('Libro Diario'!$C$10:$C$5000)=$E$4)*('Libro Diario'!$I$10:$I$5000))</f>
        <v>0</v>
      </c>
      <c r="G62" s="90" t="str">
        <f aca="false">IF(E62&gt;F62,E62-F62,"")</f>
        <v/>
      </c>
      <c r="H62" s="90" t="str">
        <f aca="false">IF(F62&gt;E62,F62-E62,"")</f>
        <v/>
      </c>
      <c r="I62" s="91" t="n">
        <f aca="false">IF(OR(C62="ACTIVO",C62="PERDIDA"),E62-F62,F62-E62)</f>
        <v>0</v>
      </c>
    </row>
    <row r="63" customFormat="false" ht="18" hidden="false" customHeight="true" outlineLevel="0" collapsed="false">
      <c r="A63" s="92" t="n">
        <v>2105401</v>
      </c>
      <c r="B63" s="54" t="str">
        <f aca="false">IFERROR(INDEX(Cuentas!$C$8:$C$500,MATCH($B$4&amp;"|"&amp;A63,Cuentas!$A$8:$A$500&amp;"|"&amp;Cuentas!$B$8:$B$500,0)),"IVA Compras Retenido a Terceros")</f>
        <v>IVA Compras Retenido a Terceros</v>
      </c>
      <c r="C63" s="69" t="str">
        <f aca="false">IFERROR(INDEX(Cuentas!$D$8:$D$500,MATCH($B$4&amp;"|"&amp;A63,Cuentas!$A$8:$A$500&amp;"|"&amp;Cuentas!$B$8:$B$500,0)),"PASIVO")</f>
        <v>PASIVO</v>
      </c>
      <c r="D63" s="69" t="str">
        <f aca="false">IF(OR(C63="ACTIVO",C63="PERDIDA"),"Deudor","Acreedor")</f>
        <v>Acreedor</v>
      </c>
      <c r="E63" s="93" t="n">
        <f aca="false">SUMPRODUCT(('Libro Diario'!$A$10:$A$5000=$B$4)*('Libro Diario'!$E$10:$E$5000=A63)*(YEAR('Libro Diario'!$C$10:$C$5000)=$E$4)*('Libro Diario'!$H$10:$H$5000))</f>
        <v>0</v>
      </c>
      <c r="F63" s="93" t="n">
        <f aca="false">SUMPRODUCT(('Libro Diario'!$A$10:$A$5000=$B$4)*('Libro Diario'!$E$10:$E$5000=A63)*(YEAR('Libro Diario'!$C$10:$C$5000)=$E$4)*('Libro Diario'!$I$10:$I$5000))</f>
        <v>0</v>
      </c>
      <c r="G63" s="93" t="str">
        <f aca="false">IF(E63&gt;F63,E63-F63,"")</f>
        <v/>
      </c>
      <c r="H63" s="93" t="str">
        <f aca="false">IF(F63&gt;E63,F63-E63,"")</f>
        <v/>
      </c>
      <c r="I63" s="94" t="n">
        <f aca="false">IF(OR(C63="ACTIVO",C63="PERDIDA"),E63-F63,F63-E63)</f>
        <v>0</v>
      </c>
    </row>
    <row r="64" customFormat="false" ht="18" hidden="false" customHeight="true" outlineLevel="0" collapsed="false">
      <c r="A64" s="89" t="n">
        <v>2106001</v>
      </c>
      <c r="B64" s="55" t="str">
        <f aca="false">IFERROR(INDEX(Cuentas!$C$8:$C$500,MATCH($B$4&amp;"|"&amp;A64,Cuentas!$A$8:$A$500&amp;"|"&amp;Cuentas!$B$8:$B$500,0)),"Sueldos por Pagar")</f>
        <v>Sueldos por Pagar</v>
      </c>
      <c r="C64" s="67" t="str">
        <f aca="false">IFERROR(INDEX(Cuentas!$D$8:$D$500,MATCH($B$4&amp;"|"&amp;A64,Cuentas!$A$8:$A$500&amp;"|"&amp;Cuentas!$B$8:$B$500,0)),"PASIVO")</f>
        <v>PASIVO</v>
      </c>
      <c r="D64" s="67" t="str">
        <f aca="false">IF(OR(C64="ACTIVO",C64="PERDIDA"),"Deudor","Acreedor")</f>
        <v>Acreedor</v>
      </c>
      <c r="E64" s="90" t="n">
        <f aca="false">SUMPRODUCT(('Libro Diario'!$A$10:$A$5000=$B$4)*('Libro Diario'!$E$10:$E$5000=A64)*(YEAR('Libro Diario'!$C$10:$C$5000)=$E$4)*('Libro Diario'!$H$10:$H$5000))</f>
        <v>0</v>
      </c>
      <c r="F64" s="90" t="n">
        <f aca="false">SUMPRODUCT(('Libro Diario'!$A$10:$A$5000=$B$4)*('Libro Diario'!$E$10:$E$5000=A64)*(YEAR('Libro Diario'!$C$10:$C$5000)=$E$4)*('Libro Diario'!$I$10:$I$5000))</f>
        <v>0</v>
      </c>
      <c r="G64" s="90" t="str">
        <f aca="false">IF(E64&gt;F64,E64-F64,"")</f>
        <v/>
      </c>
      <c r="H64" s="90" t="str">
        <f aca="false">IF(F64&gt;E64,F64-E64,"")</f>
        <v/>
      </c>
      <c r="I64" s="91" t="n">
        <f aca="false">IF(OR(C64="ACTIVO",C64="PERDIDA"),E64-F64,F64-E64)</f>
        <v>0</v>
      </c>
    </row>
    <row r="65" customFormat="false" ht="18" hidden="false" customHeight="true" outlineLevel="0" collapsed="false">
      <c r="A65" s="92" t="n">
        <v>2106002</v>
      </c>
      <c r="B65" s="54" t="str">
        <f aca="false">IFERROR(INDEX(Cuentas!$C$8:$C$500,MATCH($B$4&amp;"|"&amp;A65,Cuentas!$A$8:$A$500&amp;"|"&amp;Cuentas!$B$8:$B$500,0)),"Honorarios por Pagar")</f>
        <v>Honorarios por Pagar</v>
      </c>
      <c r="C65" s="69" t="str">
        <f aca="false">IFERROR(INDEX(Cuentas!$D$8:$D$500,MATCH($B$4&amp;"|"&amp;A65,Cuentas!$A$8:$A$500&amp;"|"&amp;Cuentas!$B$8:$B$500,0)),"PASIVO")</f>
        <v>PASIVO</v>
      </c>
      <c r="D65" s="69" t="str">
        <f aca="false">IF(OR(C65="ACTIVO",C65="PERDIDA"),"Deudor","Acreedor")</f>
        <v>Acreedor</v>
      </c>
      <c r="E65" s="93" t="n">
        <f aca="false">SUMPRODUCT(('Libro Diario'!$A$10:$A$5000=$B$4)*('Libro Diario'!$E$10:$E$5000=A65)*(YEAR('Libro Diario'!$C$10:$C$5000)=$E$4)*('Libro Diario'!$H$10:$H$5000))</f>
        <v>0</v>
      </c>
      <c r="F65" s="93" t="n">
        <f aca="false">SUMPRODUCT(('Libro Diario'!$A$10:$A$5000=$B$4)*('Libro Diario'!$E$10:$E$5000=A65)*(YEAR('Libro Diario'!$C$10:$C$5000)=$E$4)*('Libro Diario'!$I$10:$I$5000))</f>
        <v>0</v>
      </c>
      <c r="G65" s="93" t="str">
        <f aca="false">IF(E65&gt;F65,E65-F65,"")</f>
        <v/>
      </c>
      <c r="H65" s="93" t="str">
        <f aca="false">IF(F65&gt;E65,F65-E65,"")</f>
        <v/>
      </c>
      <c r="I65" s="94" t="n">
        <f aca="false">IF(OR(C65="ACTIVO",C65="PERDIDA"),E65-F65,F65-E65)</f>
        <v>0</v>
      </c>
    </row>
    <row r="66" customFormat="false" ht="18" hidden="false" customHeight="true" outlineLevel="0" collapsed="false">
      <c r="A66" s="89" t="n">
        <v>2107001</v>
      </c>
      <c r="B66" s="55" t="str">
        <f aca="false">IFERROR(INDEX(Cuentas!$C$8:$C$500,MATCH($B$4&amp;"|"&amp;A66,Cuentas!$A$8:$A$500&amp;"|"&amp;Cuentas!$B$8:$B$500,0)),"Instituciones de Prevision")</f>
        <v>Instituciones de Prevision</v>
      </c>
      <c r="C66" s="67" t="str">
        <f aca="false">IFERROR(INDEX(Cuentas!$D$8:$D$500,MATCH($B$4&amp;"|"&amp;A66,Cuentas!$A$8:$A$500&amp;"|"&amp;Cuentas!$B$8:$B$500,0)),"PASIVO")</f>
        <v>PASIVO</v>
      </c>
      <c r="D66" s="67" t="str">
        <f aca="false">IF(OR(C66="ACTIVO",C66="PERDIDA"),"Deudor","Acreedor")</f>
        <v>Acreedor</v>
      </c>
      <c r="E66" s="90" t="n">
        <f aca="false">SUMPRODUCT(('Libro Diario'!$A$10:$A$5000=$B$4)*('Libro Diario'!$E$10:$E$5000=A66)*(YEAR('Libro Diario'!$C$10:$C$5000)=$E$4)*('Libro Diario'!$H$10:$H$5000))</f>
        <v>0</v>
      </c>
      <c r="F66" s="90" t="n">
        <f aca="false">SUMPRODUCT(('Libro Diario'!$A$10:$A$5000=$B$4)*('Libro Diario'!$E$10:$E$5000=A66)*(YEAR('Libro Diario'!$C$10:$C$5000)=$E$4)*('Libro Diario'!$I$10:$I$5000))</f>
        <v>0</v>
      </c>
      <c r="G66" s="90" t="str">
        <f aca="false">IF(E66&gt;F66,E66-F66,"")</f>
        <v/>
      </c>
      <c r="H66" s="90" t="str">
        <f aca="false">IF(F66&gt;E66,F66-E66,"")</f>
        <v/>
      </c>
      <c r="I66" s="91" t="n">
        <f aca="false">IF(OR(C66="ACTIVO",C66="PERDIDA"),E66-F66,F66-E66)</f>
        <v>0</v>
      </c>
    </row>
    <row r="67" customFormat="false" ht="18" hidden="false" customHeight="true" outlineLevel="0" collapsed="false">
      <c r="A67" s="92" t="n">
        <v>2108001</v>
      </c>
      <c r="B67" s="54" t="str">
        <f aca="false">IFERROR(INDEX(Cuentas!$C$8:$C$500,MATCH($B$4&amp;"|"&amp;A67,Cuentas!$A$8:$A$500&amp;"|"&amp;Cuentas!$B$8:$B$500,0)),"Préstamos de Socios")</f>
        <v>Préstamos de Socios</v>
      </c>
      <c r="C67" s="69" t="str">
        <f aca="false">IFERROR(INDEX(Cuentas!$D$8:$D$500,MATCH($B$4&amp;"|"&amp;A67,Cuentas!$A$8:$A$500&amp;"|"&amp;Cuentas!$B$8:$B$500,0)),"PASIVO")</f>
        <v>PASIVO</v>
      </c>
      <c r="D67" s="69" t="str">
        <f aca="false">IF(OR(C67="ACTIVO",C67="PERDIDA"),"Deudor","Acreedor")</f>
        <v>Acreedor</v>
      </c>
      <c r="E67" s="93" t="n">
        <f aca="false">SUMPRODUCT(('Libro Diario'!$A$10:$A$5000=$B$4)*('Libro Diario'!$E$10:$E$5000=A67)*(YEAR('Libro Diario'!$C$10:$C$5000)=$E$4)*('Libro Diario'!$H$10:$H$5000))</f>
        <v>0</v>
      </c>
      <c r="F67" s="93" t="n">
        <f aca="false">SUMPRODUCT(('Libro Diario'!$A$10:$A$5000=$B$4)*('Libro Diario'!$E$10:$E$5000=A67)*(YEAR('Libro Diario'!$C$10:$C$5000)=$E$4)*('Libro Diario'!$I$10:$I$5000))</f>
        <v>0</v>
      </c>
      <c r="G67" s="93" t="str">
        <f aca="false">IF(E67&gt;F67,E67-F67,"")</f>
        <v/>
      </c>
      <c r="H67" s="93" t="str">
        <f aca="false">IF(F67&gt;E67,F67-E67,"")</f>
        <v/>
      </c>
      <c r="I67" s="94" t="n">
        <f aca="false">IF(OR(C67="ACTIVO",C67="PERDIDA"),E67-F67,F67-E67)</f>
        <v>0</v>
      </c>
    </row>
    <row r="68" customFormat="false" ht="18" hidden="false" customHeight="true" outlineLevel="0" collapsed="false">
      <c r="A68" s="89" t="n">
        <v>2108003</v>
      </c>
      <c r="B68" s="55" t="str">
        <f aca="false">IFERROR(INDEX(Cuentas!$C$8:$C$500,MATCH($B$4&amp;"|"&amp;A68,Cuentas!$A$8:$A$500&amp;"|"&amp;Cuentas!$B$8:$B$500,0)),"Acreedores Varios")</f>
        <v>Acreedores Varios</v>
      </c>
      <c r="C68" s="67" t="str">
        <f aca="false">IFERROR(INDEX(Cuentas!$D$8:$D$500,MATCH($B$4&amp;"|"&amp;A68,Cuentas!$A$8:$A$500&amp;"|"&amp;Cuentas!$B$8:$B$500,0)),"PASIVO")</f>
        <v>PASIVO</v>
      </c>
      <c r="D68" s="67" t="str">
        <f aca="false">IF(OR(C68="ACTIVO",C68="PERDIDA"),"Deudor","Acreedor")</f>
        <v>Acreedor</v>
      </c>
      <c r="E68" s="90" t="n">
        <f aca="false">SUMPRODUCT(('Libro Diario'!$A$10:$A$5000=$B$4)*('Libro Diario'!$E$10:$E$5000=A68)*(YEAR('Libro Diario'!$C$10:$C$5000)=$E$4)*('Libro Diario'!$H$10:$H$5000))</f>
        <v>0</v>
      </c>
      <c r="F68" s="90" t="n">
        <f aca="false">SUMPRODUCT(('Libro Diario'!$A$10:$A$5000=$B$4)*('Libro Diario'!$E$10:$E$5000=A68)*(YEAR('Libro Diario'!$C$10:$C$5000)=$E$4)*('Libro Diario'!$I$10:$I$5000))</f>
        <v>0</v>
      </c>
      <c r="G68" s="90" t="str">
        <f aca="false">IF(E68&gt;F68,E68-F68,"")</f>
        <v/>
      </c>
      <c r="H68" s="90" t="str">
        <f aca="false">IF(F68&gt;E68,F68-E68,"")</f>
        <v/>
      </c>
      <c r="I68" s="91" t="n">
        <f aca="false">IF(OR(C68="ACTIVO",C68="PERDIDA"),E68-F68,F68-E68)</f>
        <v>0</v>
      </c>
    </row>
    <row r="69" customFormat="false" ht="18" hidden="false" customHeight="true" outlineLevel="0" collapsed="false">
      <c r="A69" s="92" t="n">
        <v>2201001</v>
      </c>
      <c r="B69" s="54" t="str">
        <f aca="false">IFERROR(INDEX(Cuentas!$C$8:$C$500,MATCH($B$4&amp;"|"&amp;A69,Cuentas!$A$8:$A$500&amp;"|"&amp;Cuentas!$B$8:$B$500,0)),"Prestamos Banco Largo Plazo")</f>
        <v>Prestamos Banco Largo Plazo</v>
      </c>
      <c r="C69" s="69" t="str">
        <f aca="false">IFERROR(INDEX(Cuentas!$D$8:$D$500,MATCH($B$4&amp;"|"&amp;A69,Cuentas!$A$8:$A$500&amp;"|"&amp;Cuentas!$B$8:$B$500,0)),"PASIVO")</f>
        <v>PASIVO</v>
      </c>
      <c r="D69" s="69" t="str">
        <f aca="false">IF(OR(C69="ACTIVO",C69="PERDIDA"),"Deudor","Acreedor")</f>
        <v>Acreedor</v>
      </c>
      <c r="E69" s="93" t="n">
        <f aca="false">SUMPRODUCT(('Libro Diario'!$A$10:$A$5000=$B$4)*('Libro Diario'!$E$10:$E$5000=A69)*(YEAR('Libro Diario'!$C$10:$C$5000)=$E$4)*('Libro Diario'!$H$10:$H$5000))</f>
        <v>0</v>
      </c>
      <c r="F69" s="93" t="n">
        <f aca="false">SUMPRODUCT(('Libro Diario'!$A$10:$A$5000=$B$4)*('Libro Diario'!$E$10:$E$5000=A69)*(YEAR('Libro Diario'!$C$10:$C$5000)=$E$4)*('Libro Diario'!$I$10:$I$5000))</f>
        <v>0</v>
      </c>
      <c r="G69" s="93" t="str">
        <f aca="false">IF(E69&gt;F69,E69-F69,"")</f>
        <v/>
      </c>
      <c r="H69" s="93" t="str">
        <f aca="false">IF(F69&gt;E69,F69-E69,"")</f>
        <v/>
      </c>
      <c r="I69" s="94" t="n">
        <f aca="false">IF(OR(C69="ACTIVO",C69="PERDIDA"),E69-F69,F69-E69)</f>
        <v>0</v>
      </c>
    </row>
    <row r="70" customFormat="false" ht="18" hidden="false" customHeight="true" outlineLevel="0" collapsed="false">
      <c r="A70" s="89" t="n">
        <v>2201002</v>
      </c>
      <c r="B70" s="55" t="str">
        <f aca="false">IFERROR(INDEX(Cuentas!$C$8:$C$500,MATCH($B$4&amp;"|"&amp;A70,Cuentas!$A$8:$A$500&amp;"|"&amp;Cuentas!$B$8:$B$500,0)),"Acreedores Leasing Largo Plazo")</f>
        <v>Acreedores Leasing Largo Plazo</v>
      </c>
      <c r="C70" s="67" t="str">
        <f aca="false">IFERROR(INDEX(Cuentas!$D$8:$D$500,MATCH($B$4&amp;"|"&amp;A70,Cuentas!$A$8:$A$500&amp;"|"&amp;Cuentas!$B$8:$B$500,0)),"PASIVO")</f>
        <v>PASIVO</v>
      </c>
      <c r="D70" s="67" t="str">
        <f aca="false">IF(OR(C70="ACTIVO",C70="PERDIDA"),"Deudor","Acreedor")</f>
        <v>Acreedor</v>
      </c>
      <c r="E70" s="90" t="n">
        <f aca="false">SUMPRODUCT(('Libro Diario'!$A$10:$A$5000=$B$4)*('Libro Diario'!$E$10:$E$5000=A70)*(YEAR('Libro Diario'!$C$10:$C$5000)=$E$4)*('Libro Diario'!$H$10:$H$5000))</f>
        <v>0</v>
      </c>
      <c r="F70" s="90" t="n">
        <f aca="false">SUMPRODUCT(('Libro Diario'!$A$10:$A$5000=$B$4)*('Libro Diario'!$E$10:$E$5000=A70)*(YEAR('Libro Diario'!$C$10:$C$5000)=$E$4)*('Libro Diario'!$I$10:$I$5000))</f>
        <v>0</v>
      </c>
      <c r="G70" s="90" t="str">
        <f aca="false">IF(E70&gt;F70,E70-F70,"")</f>
        <v/>
      </c>
      <c r="H70" s="90" t="str">
        <f aca="false">IF(F70&gt;E70,F70-E70,"")</f>
        <v/>
      </c>
      <c r="I70" s="91" t="n">
        <f aca="false">IF(OR(C70="ACTIVO",C70="PERDIDA"),E70-F70,F70-E70)</f>
        <v>0</v>
      </c>
    </row>
    <row r="71" customFormat="false" ht="18" hidden="false" customHeight="true" outlineLevel="0" collapsed="false">
      <c r="A71" s="92" t="n">
        <v>2301001</v>
      </c>
      <c r="B71" s="54" t="str">
        <f aca="false">IFERROR(INDEX(Cuentas!$C$8:$C$500,MATCH($B$4&amp;"|"&amp;A71,Cuentas!$A$8:$A$500&amp;"|"&amp;Cuentas!$B$8:$B$500,0)),"Capital")</f>
        <v>Capital</v>
      </c>
      <c r="C71" s="69" t="str">
        <f aca="false">IFERROR(INDEX(Cuentas!$D$8:$D$500,MATCH($B$4&amp;"|"&amp;A71,Cuentas!$A$8:$A$500&amp;"|"&amp;Cuentas!$B$8:$B$500,0)),"PASIVO")</f>
        <v>PASIVO</v>
      </c>
      <c r="D71" s="69" t="str">
        <f aca="false">IF(OR(C71="ACTIVO",C71="PERDIDA"),"Deudor","Acreedor")</f>
        <v>Acreedor</v>
      </c>
      <c r="E71" s="93" t="n">
        <f aca="false">SUMPRODUCT(('Libro Diario'!$A$10:$A$5000=$B$4)*('Libro Diario'!$E$10:$E$5000=A71)*(YEAR('Libro Diario'!$C$10:$C$5000)=$E$4)*('Libro Diario'!$H$10:$H$5000))</f>
        <v>0</v>
      </c>
      <c r="F71" s="93" t="n">
        <f aca="false">SUMPRODUCT(('Libro Diario'!$A$10:$A$5000=$B$4)*('Libro Diario'!$E$10:$E$5000=A71)*(YEAR('Libro Diario'!$C$10:$C$5000)=$E$4)*('Libro Diario'!$I$10:$I$5000))</f>
        <v>0</v>
      </c>
      <c r="G71" s="93" t="str">
        <f aca="false">IF(E71&gt;F71,E71-F71,"")</f>
        <v/>
      </c>
      <c r="H71" s="93" t="str">
        <f aca="false">IF(F71&gt;E71,F71-E71,"")</f>
        <v/>
      </c>
      <c r="I71" s="94" t="n">
        <f aca="false">IF(OR(C71="ACTIVO",C71="PERDIDA"),E71-F71,F71-E71)</f>
        <v>0</v>
      </c>
    </row>
    <row r="72" customFormat="false" ht="18" hidden="false" customHeight="true" outlineLevel="0" collapsed="false">
      <c r="A72" s="89" t="n">
        <v>2302001</v>
      </c>
      <c r="B72" s="55" t="str">
        <f aca="false">IFERROR(INDEX(Cuentas!$C$8:$C$500,MATCH($B$4&amp;"|"&amp;A72,Cuentas!$A$8:$A$500&amp;"|"&amp;Cuentas!$B$8:$B$500,0)),"Revalorización Capital Propio")</f>
        <v>Revalorización Capital Propio</v>
      </c>
      <c r="C72" s="67" t="str">
        <f aca="false">IFERROR(INDEX(Cuentas!$D$8:$D$500,MATCH($B$4&amp;"|"&amp;A72,Cuentas!$A$8:$A$500&amp;"|"&amp;Cuentas!$B$8:$B$500,0)),"PASIVO")</f>
        <v>PASIVO</v>
      </c>
      <c r="D72" s="67" t="str">
        <f aca="false">IF(OR(C72="ACTIVO",C72="PERDIDA"),"Deudor","Acreedor")</f>
        <v>Acreedor</v>
      </c>
      <c r="E72" s="90" t="n">
        <f aca="false">SUMPRODUCT(('Libro Diario'!$A$10:$A$5000=$B$4)*('Libro Diario'!$E$10:$E$5000=A72)*(YEAR('Libro Diario'!$C$10:$C$5000)=$E$4)*('Libro Diario'!$H$10:$H$5000))</f>
        <v>0</v>
      </c>
      <c r="F72" s="90" t="n">
        <f aca="false">SUMPRODUCT(('Libro Diario'!$A$10:$A$5000=$B$4)*('Libro Diario'!$E$10:$E$5000=A72)*(YEAR('Libro Diario'!$C$10:$C$5000)=$E$4)*('Libro Diario'!$I$10:$I$5000))</f>
        <v>0</v>
      </c>
      <c r="G72" s="90" t="str">
        <f aca="false">IF(E72&gt;F72,E72-F72,"")</f>
        <v/>
      </c>
      <c r="H72" s="90" t="str">
        <f aca="false">IF(F72&gt;E72,F72-E72,"")</f>
        <v/>
      </c>
      <c r="I72" s="91" t="n">
        <f aca="false">IF(OR(C72="ACTIVO",C72="PERDIDA"),E72-F72,F72-E72)</f>
        <v>0</v>
      </c>
    </row>
    <row r="73" customFormat="false" ht="18" hidden="false" customHeight="true" outlineLevel="0" collapsed="false">
      <c r="A73" s="92" t="n">
        <v>2302101</v>
      </c>
      <c r="B73" s="54" t="str">
        <f aca="false">IFERROR(INDEX(Cuentas!$C$8:$C$500,MATCH($B$4&amp;"|"&amp;A73,Cuentas!$A$8:$A$500&amp;"|"&amp;Cuentas!$B$8:$B$500,0)),"Resultado Ej. Anteriores")</f>
        <v>Resultado Ej. Anteriores</v>
      </c>
      <c r="C73" s="69" t="str">
        <f aca="false">IFERROR(INDEX(Cuentas!$D$8:$D$500,MATCH($B$4&amp;"|"&amp;A73,Cuentas!$A$8:$A$500&amp;"|"&amp;Cuentas!$B$8:$B$500,0)),"PASIVO")</f>
        <v>PASIVO</v>
      </c>
      <c r="D73" s="69" t="str">
        <f aca="false">IF(OR(C73="ACTIVO",C73="PERDIDA"),"Deudor","Acreedor")</f>
        <v>Acreedor</v>
      </c>
      <c r="E73" s="93" t="n">
        <f aca="false">SUMPRODUCT(('Libro Diario'!$A$10:$A$5000=$B$4)*('Libro Diario'!$E$10:$E$5000=A73)*(YEAR('Libro Diario'!$C$10:$C$5000)=$E$4)*('Libro Diario'!$H$10:$H$5000))</f>
        <v>0</v>
      </c>
      <c r="F73" s="93" t="n">
        <f aca="false">SUMPRODUCT(('Libro Diario'!$A$10:$A$5000=$B$4)*('Libro Diario'!$E$10:$E$5000=A73)*(YEAR('Libro Diario'!$C$10:$C$5000)=$E$4)*('Libro Diario'!$I$10:$I$5000))</f>
        <v>0</v>
      </c>
      <c r="G73" s="93" t="str">
        <f aca="false">IF(E73&gt;F73,E73-F73,"")</f>
        <v/>
      </c>
      <c r="H73" s="93" t="str">
        <f aca="false">IF(F73&gt;E73,F73-E73,"")</f>
        <v/>
      </c>
      <c r="I73" s="94" t="n">
        <f aca="false">IF(OR(C73="ACTIVO",C73="PERDIDA"),E73-F73,F73-E73)</f>
        <v>0</v>
      </c>
    </row>
    <row r="74" customFormat="false" ht="18" hidden="false" customHeight="true" outlineLevel="0" collapsed="false">
      <c r="A74" s="89" t="n">
        <v>2302201</v>
      </c>
      <c r="B74" s="55" t="str">
        <f aca="false">IFERROR(INDEX(Cuentas!$C$8:$C$500,MATCH($B$4&amp;"|"&amp;A74,Cuentas!$A$8:$A$500&amp;"|"&amp;Cuentas!$B$8:$B$500,0)),"Resultado del Ejercicio")</f>
        <v>Resultado del Ejercicio</v>
      </c>
      <c r="C74" s="67" t="str">
        <f aca="false">IFERROR(INDEX(Cuentas!$D$8:$D$500,MATCH($B$4&amp;"|"&amp;A74,Cuentas!$A$8:$A$500&amp;"|"&amp;Cuentas!$B$8:$B$500,0)),"PASIVO")</f>
        <v>PASIVO</v>
      </c>
      <c r="D74" s="67" t="str">
        <f aca="false">IF(OR(C74="ACTIVO",C74="PERDIDA"),"Deudor","Acreedor")</f>
        <v>Acreedor</v>
      </c>
      <c r="E74" s="90" t="n">
        <f aca="false">SUMPRODUCT(('Libro Diario'!$A$10:$A$5000=$B$4)*('Libro Diario'!$E$10:$E$5000=A74)*(YEAR('Libro Diario'!$C$10:$C$5000)=$E$4)*('Libro Diario'!$H$10:$H$5000))</f>
        <v>0</v>
      </c>
      <c r="F74" s="90" t="n">
        <f aca="false">SUMPRODUCT(('Libro Diario'!$A$10:$A$5000=$B$4)*('Libro Diario'!$E$10:$E$5000=A74)*(YEAR('Libro Diario'!$C$10:$C$5000)=$E$4)*('Libro Diario'!$I$10:$I$5000))</f>
        <v>0</v>
      </c>
      <c r="G74" s="90" t="str">
        <f aca="false">IF(E74&gt;F74,E74-F74,"")</f>
        <v/>
      </c>
      <c r="H74" s="90" t="str">
        <f aca="false">IF(F74&gt;E74,F74-E74,"")</f>
        <v/>
      </c>
      <c r="I74" s="91" t="n">
        <f aca="false">IF(OR(C74="ACTIVO",C74="PERDIDA"),E74-F74,F74-E74)</f>
        <v>0</v>
      </c>
    </row>
    <row r="75" customFormat="false" ht="18" hidden="false" customHeight="true" outlineLevel="0" collapsed="false">
      <c r="A75" s="92" t="n">
        <v>3101001</v>
      </c>
      <c r="B75" s="54" t="str">
        <f aca="false">IFERROR(INDEX(Cuentas!$C$8:$C$500,MATCH($B$4&amp;"|"&amp;A75,Cuentas!$A$8:$A$500&amp;"|"&amp;Cuentas!$B$8:$B$500,0)),"Costo de Ventas")</f>
        <v>Costo de Ventas</v>
      </c>
      <c r="C75" s="69" t="str">
        <f aca="false">IFERROR(INDEX(Cuentas!$D$8:$D$500,MATCH($B$4&amp;"|"&amp;A75,Cuentas!$A$8:$A$500&amp;"|"&amp;Cuentas!$B$8:$B$500,0)),"PERDIDA")</f>
        <v>PERDIDA</v>
      </c>
      <c r="D75" s="69" t="str">
        <f aca="false">IF(OR(C75="ACTIVO",C75="PERDIDA"),"Deudor","Acreedor")</f>
        <v>Deudor</v>
      </c>
      <c r="E75" s="93" t="n">
        <f aca="false">SUMPRODUCT(('Libro Diario'!$A$10:$A$5000=$B$4)*('Libro Diario'!$E$10:$E$5000=A75)*(YEAR('Libro Diario'!$C$10:$C$5000)=$E$4)*('Libro Diario'!$H$10:$H$5000))</f>
        <v>0</v>
      </c>
      <c r="F75" s="93" t="n">
        <f aca="false">SUMPRODUCT(('Libro Diario'!$A$10:$A$5000=$B$4)*('Libro Diario'!$E$10:$E$5000=A75)*(YEAR('Libro Diario'!$C$10:$C$5000)=$E$4)*('Libro Diario'!$I$10:$I$5000))</f>
        <v>0</v>
      </c>
      <c r="G75" s="93" t="str">
        <f aca="false">IF(E75&gt;F75,E75-F75,"")</f>
        <v/>
      </c>
      <c r="H75" s="93" t="str">
        <f aca="false">IF(F75&gt;E75,F75-E75,"")</f>
        <v/>
      </c>
      <c r="I75" s="94" t="n">
        <f aca="false">IF(OR(C75="ACTIVO",C75="PERDIDA"),E75-F75,F75-E75)</f>
        <v>0</v>
      </c>
    </row>
    <row r="76" customFormat="false" ht="18" hidden="false" customHeight="true" outlineLevel="0" collapsed="false">
      <c r="A76" s="89" t="n">
        <v>3101002</v>
      </c>
      <c r="B76" s="55" t="str">
        <f aca="false">IFERROR(INDEX(Cuentas!$C$8:$C$500,MATCH($B$4&amp;"|"&amp;A76,Cuentas!$A$8:$A$500&amp;"|"&amp;Cuentas!$B$8:$B$500,0)),"Gastos Administracion")</f>
        <v>Gastos Administracion</v>
      </c>
      <c r="C76" s="67" t="str">
        <f aca="false">IFERROR(INDEX(Cuentas!$D$8:$D$500,MATCH($B$4&amp;"|"&amp;A76,Cuentas!$A$8:$A$500&amp;"|"&amp;Cuentas!$B$8:$B$500,0)),"PERDIDA")</f>
        <v>PERDIDA</v>
      </c>
      <c r="D76" s="67" t="str">
        <f aca="false">IF(OR(C76="ACTIVO",C76="PERDIDA"),"Deudor","Acreedor")</f>
        <v>Deudor</v>
      </c>
      <c r="E76" s="90" t="n">
        <f aca="false">SUMPRODUCT(('Libro Diario'!$A$10:$A$5000=$B$4)*('Libro Diario'!$E$10:$E$5000=A76)*(YEAR('Libro Diario'!$C$10:$C$5000)=$E$4)*('Libro Diario'!$H$10:$H$5000))</f>
        <v>0</v>
      </c>
      <c r="F76" s="90" t="n">
        <f aca="false">SUMPRODUCT(('Libro Diario'!$A$10:$A$5000=$B$4)*('Libro Diario'!$E$10:$E$5000=A76)*(YEAR('Libro Diario'!$C$10:$C$5000)=$E$4)*('Libro Diario'!$I$10:$I$5000))</f>
        <v>0</v>
      </c>
      <c r="G76" s="90" t="str">
        <f aca="false">IF(E76&gt;F76,E76-F76,"")</f>
        <v/>
      </c>
      <c r="H76" s="90" t="str">
        <f aca="false">IF(F76&gt;E76,F76-E76,"")</f>
        <v/>
      </c>
      <c r="I76" s="91" t="n">
        <f aca="false">IF(OR(C76="ACTIVO",C76="PERDIDA"),E76-F76,F76-E76)</f>
        <v>0</v>
      </c>
    </row>
    <row r="77" customFormat="false" ht="18" hidden="false" customHeight="true" outlineLevel="0" collapsed="false">
      <c r="A77" s="92" t="n">
        <v>3101003</v>
      </c>
      <c r="B77" s="54" t="str">
        <f aca="false">IFERROR(INDEX(Cuentas!$C$8:$C$500,MATCH($B$4&amp;"|"&amp;A77,Cuentas!$A$8:$A$500&amp;"|"&amp;Cuentas!$B$8:$B$500,0)),"Combustibles y Mant. Vehiculos")</f>
        <v>Combustibles y Mant. Vehiculos</v>
      </c>
      <c r="C77" s="69" t="str">
        <f aca="false">IFERROR(INDEX(Cuentas!$D$8:$D$500,MATCH($B$4&amp;"|"&amp;A77,Cuentas!$A$8:$A$500&amp;"|"&amp;Cuentas!$B$8:$B$500,0)),"PERDIDA")</f>
        <v>PERDIDA</v>
      </c>
      <c r="D77" s="69" t="str">
        <f aca="false">IF(OR(C77="ACTIVO",C77="PERDIDA"),"Deudor","Acreedor")</f>
        <v>Deudor</v>
      </c>
      <c r="E77" s="93" t="n">
        <f aca="false">SUMPRODUCT(('Libro Diario'!$A$10:$A$5000=$B$4)*('Libro Diario'!$E$10:$E$5000=A77)*(YEAR('Libro Diario'!$C$10:$C$5000)=$E$4)*('Libro Diario'!$H$10:$H$5000))</f>
        <v>0</v>
      </c>
      <c r="F77" s="93" t="n">
        <f aca="false">SUMPRODUCT(('Libro Diario'!$A$10:$A$5000=$B$4)*('Libro Diario'!$E$10:$E$5000=A77)*(YEAR('Libro Diario'!$C$10:$C$5000)=$E$4)*('Libro Diario'!$I$10:$I$5000))</f>
        <v>0</v>
      </c>
      <c r="G77" s="93" t="str">
        <f aca="false">IF(E77&gt;F77,E77-F77,"")</f>
        <v/>
      </c>
      <c r="H77" s="93" t="str">
        <f aca="false">IF(F77&gt;E77,F77-E77,"")</f>
        <v/>
      </c>
      <c r="I77" s="94" t="n">
        <f aca="false">IF(OR(C77="ACTIVO",C77="PERDIDA"),E77-F77,F77-E77)</f>
        <v>0</v>
      </c>
    </row>
    <row r="78" customFormat="false" ht="18" hidden="false" customHeight="true" outlineLevel="0" collapsed="false">
      <c r="A78" s="89" t="n">
        <v>3102002</v>
      </c>
      <c r="B78" s="55" t="str">
        <f aca="false">IFERROR(INDEX(Cuentas!$C$8:$C$500,MATCH($B$4&amp;"|"&amp;A78,Cuentas!$A$8:$A$500&amp;"|"&amp;Cuentas!$B$8:$B$500,0)),"Capacitación y Perfeccionamiento")</f>
        <v>Capacitación y Perfeccionamiento</v>
      </c>
      <c r="C78" s="67" t="str">
        <f aca="false">IFERROR(INDEX(Cuentas!$D$8:$D$500,MATCH($B$4&amp;"|"&amp;A78,Cuentas!$A$8:$A$500&amp;"|"&amp;Cuentas!$B$8:$B$500,0)),"PERDIDA")</f>
        <v>PERDIDA</v>
      </c>
      <c r="D78" s="67" t="str">
        <f aca="false">IF(OR(C78="ACTIVO",C78="PERDIDA"),"Deudor","Acreedor")</f>
        <v>Deudor</v>
      </c>
      <c r="E78" s="90" t="n">
        <f aca="false">SUMPRODUCT(('Libro Diario'!$A$10:$A$5000=$B$4)*('Libro Diario'!$E$10:$E$5000=A78)*(YEAR('Libro Diario'!$C$10:$C$5000)=$E$4)*('Libro Diario'!$H$10:$H$5000))</f>
        <v>0</v>
      </c>
      <c r="F78" s="90" t="n">
        <f aca="false">SUMPRODUCT(('Libro Diario'!$A$10:$A$5000=$B$4)*('Libro Diario'!$E$10:$E$5000=A78)*(YEAR('Libro Diario'!$C$10:$C$5000)=$E$4)*('Libro Diario'!$I$10:$I$5000))</f>
        <v>0</v>
      </c>
      <c r="G78" s="90" t="str">
        <f aca="false">IF(E78&gt;F78,E78-F78,"")</f>
        <v/>
      </c>
      <c r="H78" s="90" t="str">
        <f aca="false">IF(F78&gt;E78,F78-E78,"")</f>
        <v/>
      </c>
      <c r="I78" s="91" t="n">
        <f aca="false">IF(OR(C78="ACTIVO",C78="PERDIDA"),E78-F78,F78-E78)</f>
        <v>0</v>
      </c>
    </row>
    <row r="79" customFormat="false" ht="18" hidden="false" customHeight="true" outlineLevel="0" collapsed="false">
      <c r="A79" s="92" t="n">
        <v>3103001</v>
      </c>
      <c r="B79" s="54" t="str">
        <f aca="false">IFERROR(INDEX(Cuentas!$C$8:$C$500,MATCH($B$4&amp;"|"&amp;A79,Cuentas!$A$8:$A$500&amp;"|"&amp;Cuentas!$B$8:$B$500,0)),"Remuneraciones")</f>
        <v>Remuneraciones</v>
      </c>
      <c r="C79" s="69" t="str">
        <f aca="false">IFERROR(INDEX(Cuentas!$D$8:$D$500,MATCH($B$4&amp;"|"&amp;A79,Cuentas!$A$8:$A$500&amp;"|"&amp;Cuentas!$B$8:$B$500,0)),"PERDIDA")</f>
        <v>PERDIDA</v>
      </c>
      <c r="D79" s="69" t="str">
        <f aca="false">IF(OR(C79="ACTIVO",C79="PERDIDA"),"Deudor","Acreedor")</f>
        <v>Deudor</v>
      </c>
      <c r="E79" s="93" t="n">
        <f aca="false">SUMPRODUCT(('Libro Diario'!$A$10:$A$5000=$B$4)*('Libro Diario'!$E$10:$E$5000=A79)*(YEAR('Libro Diario'!$C$10:$C$5000)=$E$4)*('Libro Diario'!$H$10:$H$5000))</f>
        <v>0</v>
      </c>
      <c r="F79" s="93" t="n">
        <f aca="false">SUMPRODUCT(('Libro Diario'!$A$10:$A$5000=$B$4)*('Libro Diario'!$E$10:$E$5000=A79)*(YEAR('Libro Diario'!$C$10:$C$5000)=$E$4)*('Libro Diario'!$I$10:$I$5000))</f>
        <v>0</v>
      </c>
      <c r="G79" s="93" t="str">
        <f aca="false">IF(E79&gt;F79,E79-F79,"")</f>
        <v/>
      </c>
      <c r="H79" s="93" t="str">
        <f aca="false">IF(F79&gt;E79,F79-E79,"")</f>
        <v/>
      </c>
      <c r="I79" s="94" t="n">
        <f aca="false">IF(OR(C79="ACTIVO",C79="PERDIDA"),E79-F79,F79-E79)</f>
        <v>0</v>
      </c>
    </row>
    <row r="80" customFormat="false" ht="18" hidden="false" customHeight="true" outlineLevel="0" collapsed="false">
      <c r="A80" s="89" t="n">
        <v>3103002</v>
      </c>
      <c r="B80" s="55" t="str">
        <f aca="false">IFERROR(INDEX(Cuentas!$C$8:$C$500,MATCH($B$4&amp;"|"&amp;A80,Cuentas!$A$8:$A$500&amp;"|"&amp;Cuentas!$B$8:$B$500,0)),"Asesorias y Honorarios Profesionales")</f>
        <v>Asesorias y Honorarios Profesionales</v>
      </c>
      <c r="C80" s="67" t="str">
        <f aca="false">IFERROR(INDEX(Cuentas!$D$8:$D$500,MATCH($B$4&amp;"|"&amp;A80,Cuentas!$A$8:$A$500&amp;"|"&amp;Cuentas!$B$8:$B$500,0)),"PERDIDA")</f>
        <v>PERDIDA</v>
      </c>
      <c r="D80" s="67" t="str">
        <f aca="false">IF(OR(C80="ACTIVO",C80="PERDIDA"),"Deudor","Acreedor")</f>
        <v>Deudor</v>
      </c>
      <c r="E80" s="90" t="n">
        <f aca="false">SUMPRODUCT(('Libro Diario'!$A$10:$A$5000=$B$4)*('Libro Diario'!$E$10:$E$5000=A80)*(YEAR('Libro Diario'!$C$10:$C$5000)=$E$4)*('Libro Diario'!$H$10:$H$5000))</f>
        <v>0</v>
      </c>
      <c r="F80" s="90" t="n">
        <f aca="false">SUMPRODUCT(('Libro Diario'!$A$10:$A$5000=$B$4)*('Libro Diario'!$E$10:$E$5000=A80)*(YEAR('Libro Diario'!$C$10:$C$5000)=$E$4)*('Libro Diario'!$I$10:$I$5000))</f>
        <v>0</v>
      </c>
      <c r="G80" s="90" t="str">
        <f aca="false">IF(E80&gt;F80,E80-F80,"")</f>
        <v/>
      </c>
      <c r="H80" s="90" t="str">
        <f aca="false">IF(F80&gt;E80,F80-E80,"")</f>
        <v/>
      </c>
      <c r="I80" s="91" t="n">
        <f aca="false">IF(OR(C80="ACTIVO",C80="PERDIDA"),E80-F80,F80-E80)</f>
        <v>0</v>
      </c>
    </row>
    <row r="81" customFormat="false" ht="18" hidden="false" customHeight="true" outlineLevel="0" collapsed="false">
      <c r="A81" s="92" t="n">
        <v>3103003</v>
      </c>
      <c r="B81" s="54" t="str">
        <f aca="false">IFERROR(INDEX(Cuentas!$C$8:$C$500,MATCH($B$4&amp;"|"&amp;A81,Cuentas!$A$8:$A$500&amp;"|"&amp;Cuentas!$B$8:$B$500,0)),"Gastos Varios")</f>
        <v>Gastos Varios</v>
      </c>
      <c r="C81" s="69" t="str">
        <f aca="false">IFERROR(INDEX(Cuentas!$D$8:$D$500,MATCH($B$4&amp;"|"&amp;A81,Cuentas!$A$8:$A$500&amp;"|"&amp;Cuentas!$B$8:$B$500,0)),"PERDIDA")</f>
        <v>PERDIDA</v>
      </c>
      <c r="D81" s="69" t="str">
        <f aca="false">IF(OR(C81="ACTIVO",C81="PERDIDA"),"Deudor","Acreedor")</f>
        <v>Deudor</v>
      </c>
      <c r="E81" s="93" t="n">
        <f aca="false">SUMPRODUCT(('Libro Diario'!$A$10:$A$5000=$B$4)*('Libro Diario'!$E$10:$E$5000=A81)*(YEAR('Libro Diario'!$C$10:$C$5000)=$E$4)*('Libro Diario'!$H$10:$H$5000))</f>
        <v>0</v>
      </c>
      <c r="F81" s="93" t="n">
        <f aca="false">SUMPRODUCT(('Libro Diario'!$A$10:$A$5000=$B$4)*('Libro Diario'!$E$10:$E$5000=A81)*(YEAR('Libro Diario'!$C$10:$C$5000)=$E$4)*('Libro Diario'!$I$10:$I$5000))</f>
        <v>0</v>
      </c>
      <c r="G81" s="93" t="str">
        <f aca="false">IF(E81&gt;F81,E81-F81,"")</f>
        <v/>
      </c>
      <c r="H81" s="93" t="str">
        <f aca="false">IF(F81&gt;E81,F81-E81,"")</f>
        <v/>
      </c>
      <c r="I81" s="94" t="n">
        <f aca="false">IF(OR(C81="ACTIVO",C81="PERDIDA"),E81-F81,F81-E81)</f>
        <v>0</v>
      </c>
    </row>
    <row r="82" customFormat="false" ht="18" hidden="false" customHeight="true" outlineLevel="0" collapsed="false">
      <c r="A82" s="89" t="n">
        <v>3103004</v>
      </c>
      <c r="B82" s="55" t="str">
        <f aca="false">IFERROR(INDEX(Cuentas!$C$8:$C$500,MATCH($B$4&amp;"|"&amp;A82,Cuentas!$A$8:$A$500&amp;"|"&amp;Cuentas!$B$8:$B$500,0)),"Fletes y Combustibles")</f>
        <v>Fletes y Combustibles</v>
      </c>
      <c r="C82" s="67" t="str">
        <f aca="false">IFERROR(INDEX(Cuentas!$D$8:$D$500,MATCH($B$4&amp;"|"&amp;A82,Cuentas!$A$8:$A$500&amp;"|"&amp;Cuentas!$B$8:$B$500,0)),"PERDIDA")</f>
        <v>PERDIDA</v>
      </c>
      <c r="D82" s="67" t="str">
        <f aca="false">IF(OR(C82="ACTIVO",C82="PERDIDA"),"Deudor","Acreedor")</f>
        <v>Deudor</v>
      </c>
      <c r="E82" s="90" t="n">
        <f aca="false">SUMPRODUCT(('Libro Diario'!$A$10:$A$5000=$B$4)*('Libro Diario'!$E$10:$E$5000=A82)*(YEAR('Libro Diario'!$C$10:$C$5000)=$E$4)*('Libro Diario'!$H$10:$H$5000))</f>
        <v>0</v>
      </c>
      <c r="F82" s="90" t="n">
        <f aca="false">SUMPRODUCT(('Libro Diario'!$A$10:$A$5000=$B$4)*('Libro Diario'!$E$10:$E$5000=A82)*(YEAR('Libro Diario'!$C$10:$C$5000)=$E$4)*('Libro Diario'!$I$10:$I$5000))</f>
        <v>0</v>
      </c>
      <c r="G82" s="90" t="str">
        <f aca="false">IF(E82&gt;F82,E82-F82,"")</f>
        <v/>
      </c>
      <c r="H82" s="90" t="str">
        <f aca="false">IF(F82&gt;E82,F82-E82,"")</f>
        <v/>
      </c>
      <c r="I82" s="91" t="n">
        <f aca="false">IF(OR(C82="ACTIVO",C82="PERDIDA"),E82-F82,F82-E82)</f>
        <v>0</v>
      </c>
    </row>
    <row r="83" customFormat="false" ht="18" hidden="false" customHeight="true" outlineLevel="0" collapsed="false">
      <c r="A83" s="92" t="n">
        <v>3103005</v>
      </c>
      <c r="B83" s="54" t="str">
        <f aca="false">IFERROR(INDEX(Cuentas!$C$8:$C$500,MATCH($B$4&amp;"|"&amp;A83,Cuentas!$A$8:$A$500&amp;"|"&amp;Cuentas!$B$8:$B$500,0)),"Gastos Repuestos")</f>
        <v>Gastos Repuestos</v>
      </c>
      <c r="C83" s="69" t="str">
        <f aca="false">IFERROR(INDEX(Cuentas!$D$8:$D$500,MATCH($B$4&amp;"|"&amp;A83,Cuentas!$A$8:$A$500&amp;"|"&amp;Cuentas!$B$8:$B$500,0)),"PERDIDA")</f>
        <v>PERDIDA</v>
      </c>
      <c r="D83" s="69" t="str">
        <f aca="false">IF(OR(C83="ACTIVO",C83="PERDIDA"),"Deudor","Acreedor")</f>
        <v>Deudor</v>
      </c>
      <c r="E83" s="93" t="n">
        <f aca="false">SUMPRODUCT(('Libro Diario'!$A$10:$A$5000=$B$4)*('Libro Diario'!$E$10:$E$5000=A83)*(YEAR('Libro Diario'!$C$10:$C$5000)=$E$4)*('Libro Diario'!$H$10:$H$5000))</f>
        <v>0</v>
      </c>
      <c r="F83" s="93" t="n">
        <f aca="false">SUMPRODUCT(('Libro Diario'!$A$10:$A$5000=$B$4)*('Libro Diario'!$E$10:$E$5000=A83)*(YEAR('Libro Diario'!$C$10:$C$5000)=$E$4)*('Libro Diario'!$I$10:$I$5000))</f>
        <v>0</v>
      </c>
      <c r="G83" s="93" t="str">
        <f aca="false">IF(E83&gt;F83,E83-F83,"")</f>
        <v/>
      </c>
      <c r="H83" s="93" t="str">
        <f aca="false">IF(F83&gt;E83,F83-E83,"")</f>
        <v/>
      </c>
      <c r="I83" s="94" t="n">
        <f aca="false">IF(OR(C83="ACTIVO",C83="PERDIDA"),E83-F83,F83-E83)</f>
        <v>0</v>
      </c>
    </row>
    <row r="84" customFormat="false" ht="18" hidden="false" customHeight="true" outlineLevel="0" collapsed="false">
      <c r="A84" s="89" t="n">
        <v>3103006</v>
      </c>
      <c r="B84" s="55" t="str">
        <f aca="false">IFERROR(INDEX(Cuentas!$C$8:$C$500,MATCH($B$4&amp;"|"&amp;A84,Cuentas!$A$8:$A$500&amp;"|"&amp;Cuentas!$B$8:$B$500,0)),"Gastos Basicos")</f>
        <v>Gastos Basicos</v>
      </c>
      <c r="C84" s="67" t="str">
        <f aca="false">IFERROR(INDEX(Cuentas!$D$8:$D$500,MATCH($B$4&amp;"|"&amp;A84,Cuentas!$A$8:$A$500&amp;"|"&amp;Cuentas!$B$8:$B$500,0)),"PERDIDA")</f>
        <v>PERDIDA</v>
      </c>
      <c r="D84" s="67" t="str">
        <f aca="false">IF(OR(C84="ACTIVO",C84="PERDIDA"),"Deudor","Acreedor")</f>
        <v>Deudor</v>
      </c>
      <c r="E84" s="90" t="n">
        <f aca="false">SUMPRODUCT(('Libro Diario'!$A$10:$A$5000=$B$4)*('Libro Diario'!$E$10:$E$5000=A84)*(YEAR('Libro Diario'!$C$10:$C$5000)=$E$4)*('Libro Diario'!$H$10:$H$5000))</f>
        <v>0</v>
      </c>
      <c r="F84" s="90" t="n">
        <f aca="false">SUMPRODUCT(('Libro Diario'!$A$10:$A$5000=$B$4)*('Libro Diario'!$E$10:$E$5000=A84)*(YEAR('Libro Diario'!$C$10:$C$5000)=$E$4)*('Libro Diario'!$I$10:$I$5000))</f>
        <v>0</v>
      </c>
      <c r="G84" s="90" t="str">
        <f aca="false">IF(E84&gt;F84,E84-F84,"")</f>
        <v/>
      </c>
      <c r="H84" s="90" t="str">
        <f aca="false">IF(F84&gt;E84,F84-E84,"")</f>
        <v/>
      </c>
      <c r="I84" s="91" t="n">
        <f aca="false">IF(OR(C84="ACTIVO",C84="PERDIDA"),E84-F84,F84-E84)</f>
        <v>0</v>
      </c>
    </row>
    <row r="85" customFormat="false" ht="18" hidden="false" customHeight="true" outlineLevel="0" collapsed="false">
      <c r="A85" s="92" t="n">
        <v>3103007</v>
      </c>
      <c r="B85" s="54" t="str">
        <f aca="false">IFERROR(INDEX(Cuentas!$C$8:$C$500,MATCH($B$4&amp;"|"&amp;A85,Cuentas!$A$8:$A$500&amp;"|"&amp;Cuentas!$B$8:$B$500,0)),"Gastos de Administración")</f>
        <v>Gastos de Administración</v>
      </c>
      <c r="C85" s="69" t="str">
        <f aca="false">IFERROR(INDEX(Cuentas!$D$8:$D$500,MATCH($B$4&amp;"|"&amp;A85,Cuentas!$A$8:$A$500&amp;"|"&amp;Cuentas!$B$8:$B$500,0)),"PERDIDA")</f>
        <v>PERDIDA</v>
      </c>
      <c r="D85" s="69" t="str">
        <f aca="false">IF(OR(C85="ACTIVO",C85="PERDIDA"),"Deudor","Acreedor")</f>
        <v>Deudor</v>
      </c>
      <c r="E85" s="93" t="n">
        <f aca="false">SUMPRODUCT(('Libro Diario'!$A$10:$A$5000=$B$4)*('Libro Diario'!$E$10:$E$5000=A85)*(YEAR('Libro Diario'!$C$10:$C$5000)=$E$4)*('Libro Diario'!$H$10:$H$5000))</f>
        <v>0</v>
      </c>
      <c r="F85" s="93" t="n">
        <f aca="false">SUMPRODUCT(('Libro Diario'!$A$10:$A$5000=$B$4)*('Libro Diario'!$E$10:$E$5000=A85)*(YEAR('Libro Diario'!$C$10:$C$5000)=$E$4)*('Libro Diario'!$I$10:$I$5000))</f>
        <v>0</v>
      </c>
      <c r="G85" s="93" t="str">
        <f aca="false">IF(E85&gt;F85,E85-F85,"")</f>
        <v/>
      </c>
      <c r="H85" s="93" t="str">
        <f aca="false">IF(F85&gt;E85,F85-E85,"")</f>
        <v/>
      </c>
      <c r="I85" s="94" t="n">
        <f aca="false">IF(OR(C85="ACTIVO",C85="PERDIDA"),E85-F85,F85-E85)</f>
        <v>0</v>
      </c>
    </row>
    <row r="86" customFormat="false" ht="18" hidden="false" customHeight="true" outlineLevel="0" collapsed="false">
      <c r="A86" s="89" t="n">
        <v>3103008</v>
      </c>
      <c r="B86" s="55" t="str">
        <f aca="false">IFERROR(INDEX(Cuentas!$C$8:$C$500,MATCH($B$4&amp;"|"&amp;A86,Cuentas!$A$8:$A$500&amp;"|"&amp;Cuentas!$B$8:$B$500,0)),"Publicidad")</f>
        <v>Publicidad</v>
      </c>
      <c r="C86" s="67" t="str">
        <f aca="false">IFERROR(INDEX(Cuentas!$D$8:$D$500,MATCH($B$4&amp;"|"&amp;A86,Cuentas!$A$8:$A$500&amp;"|"&amp;Cuentas!$B$8:$B$500,0)),"PERDIDA")</f>
        <v>PERDIDA</v>
      </c>
      <c r="D86" s="67" t="str">
        <f aca="false">IF(OR(C86="ACTIVO",C86="PERDIDA"),"Deudor","Acreedor")</f>
        <v>Deudor</v>
      </c>
      <c r="E86" s="90" t="n">
        <f aca="false">SUMPRODUCT(('Libro Diario'!$A$10:$A$5000=$B$4)*('Libro Diario'!$E$10:$E$5000=A86)*(YEAR('Libro Diario'!$C$10:$C$5000)=$E$4)*('Libro Diario'!$H$10:$H$5000))</f>
        <v>0</v>
      </c>
      <c r="F86" s="90" t="n">
        <f aca="false">SUMPRODUCT(('Libro Diario'!$A$10:$A$5000=$B$4)*('Libro Diario'!$E$10:$E$5000=A86)*(YEAR('Libro Diario'!$C$10:$C$5000)=$E$4)*('Libro Diario'!$I$10:$I$5000))</f>
        <v>0</v>
      </c>
      <c r="G86" s="90" t="str">
        <f aca="false">IF(E86&gt;F86,E86-F86,"")</f>
        <v/>
      </c>
      <c r="H86" s="90" t="str">
        <f aca="false">IF(F86&gt;E86,F86-E86,"")</f>
        <v/>
      </c>
      <c r="I86" s="91" t="n">
        <f aca="false">IF(OR(C86="ACTIVO",C86="PERDIDA"),E86-F86,F86-E86)</f>
        <v>0</v>
      </c>
    </row>
    <row r="87" customFormat="false" ht="18" hidden="false" customHeight="true" outlineLevel="0" collapsed="false">
      <c r="A87" s="92" t="n">
        <v>3103009</v>
      </c>
      <c r="B87" s="54" t="str">
        <f aca="false">IFERROR(INDEX(Cuentas!$C$8:$C$500,MATCH($B$4&amp;"|"&amp;A87,Cuentas!$A$8:$A$500&amp;"|"&amp;Cuentas!$B$8:$B$500,0)),"Arriendos")</f>
        <v>Arriendos</v>
      </c>
      <c r="C87" s="69" t="str">
        <f aca="false">IFERROR(INDEX(Cuentas!$D$8:$D$500,MATCH($B$4&amp;"|"&amp;A87,Cuentas!$A$8:$A$500&amp;"|"&amp;Cuentas!$B$8:$B$500,0)),"PERDIDA")</f>
        <v>PERDIDA</v>
      </c>
      <c r="D87" s="69" t="str">
        <f aca="false">IF(OR(C87="ACTIVO",C87="PERDIDA"),"Deudor","Acreedor")</f>
        <v>Deudor</v>
      </c>
      <c r="E87" s="93" t="n">
        <f aca="false">SUMPRODUCT(('Libro Diario'!$A$10:$A$5000=$B$4)*('Libro Diario'!$E$10:$E$5000=A87)*(YEAR('Libro Diario'!$C$10:$C$5000)=$E$4)*('Libro Diario'!$H$10:$H$5000))</f>
        <v>0</v>
      </c>
      <c r="F87" s="93" t="n">
        <f aca="false">SUMPRODUCT(('Libro Diario'!$A$10:$A$5000=$B$4)*('Libro Diario'!$E$10:$E$5000=A87)*(YEAR('Libro Diario'!$C$10:$C$5000)=$E$4)*('Libro Diario'!$I$10:$I$5000))</f>
        <v>0</v>
      </c>
      <c r="G87" s="93" t="str">
        <f aca="false">IF(E87&gt;F87,E87-F87,"")</f>
        <v/>
      </c>
      <c r="H87" s="93" t="str">
        <f aca="false">IF(F87&gt;E87,F87-E87,"")</f>
        <v/>
      </c>
      <c r="I87" s="94" t="n">
        <f aca="false">IF(OR(C87="ACTIVO",C87="PERDIDA"),E87-F87,F87-E87)</f>
        <v>0</v>
      </c>
    </row>
    <row r="88" customFormat="false" ht="18" hidden="false" customHeight="true" outlineLevel="0" collapsed="false">
      <c r="A88" s="89" t="n">
        <v>3103010</v>
      </c>
      <c r="B88" s="55" t="str">
        <f aca="false">IFERROR(INDEX(Cuentas!$C$8:$C$500,MATCH($B$4&amp;"|"&amp;A88,Cuentas!$A$8:$A$500&amp;"|"&amp;Cuentas!$B$8:$B$500,0)),"Seguros")</f>
        <v>Seguros</v>
      </c>
      <c r="C88" s="67" t="str">
        <f aca="false">IFERROR(INDEX(Cuentas!$D$8:$D$500,MATCH($B$4&amp;"|"&amp;A88,Cuentas!$A$8:$A$500&amp;"|"&amp;Cuentas!$B$8:$B$500,0)),"PERDIDA")</f>
        <v>PERDIDA</v>
      </c>
      <c r="D88" s="67" t="str">
        <f aca="false">IF(OR(C88="ACTIVO",C88="PERDIDA"),"Deudor","Acreedor")</f>
        <v>Deudor</v>
      </c>
      <c r="E88" s="90" t="n">
        <f aca="false">SUMPRODUCT(('Libro Diario'!$A$10:$A$5000=$B$4)*('Libro Diario'!$E$10:$E$5000=A88)*(YEAR('Libro Diario'!$C$10:$C$5000)=$E$4)*('Libro Diario'!$H$10:$H$5000))</f>
        <v>0</v>
      </c>
      <c r="F88" s="90" t="n">
        <f aca="false">SUMPRODUCT(('Libro Diario'!$A$10:$A$5000=$B$4)*('Libro Diario'!$E$10:$E$5000=A88)*(YEAR('Libro Diario'!$C$10:$C$5000)=$E$4)*('Libro Diario'!$I$10:$I$5000))</f>
        <v>0</v>
      </c>
      <c r="G88" s="90" t="str">
        <f aca="false">IF(E88&gt;F88,E88-F88,"")</f>
        <v/>
      </c>
      <c r="H88" s="90" t="str">
        <f aca="false">IF(F88&gt;E88,F88-E88,"")</f>
        <v/>
      </c>
      <c r="I88" s="91" t="n">
        <f aca="false">IF(OR(C88="ACTIVO",C88="PERDIDA"),E88-F88,F88-E88)</f>
        <v>0</v>
      </c>
    </row>
    <row r="89" customFormat="false" ht="18" hidden="false" customHeight="true" outlineLevel="0" collapsed="false">
      <c r="A89" s="92" t="n">
        <v>3201001</v>
      </c>
      <c r="B89" s="54" t="str">
        <f aca="false">IFERROR(INDEX(Cuentas!$C$8:$C$500,MATCH($B$4&amp;"|"&amp;A89,Cuentas!$A$8:$A$500&amp;"|"&amp;Cuentas!$B$8:$B$500,0)),"Gastos Financieros")</f>
        <v>Gastos Financieros</v>
      </c>
      <c r="C89" s="69" t="str">
        <f aca="false">IFERROR(INDEX(Cuentas!$D$8:$D$500,MATCH($B$4&amp;"|"&amp;A89,Cuentas!$A$8:$A$500&amp;"|"&amp;Cuentas!$B$8:$B$500,0)),"PERDIDA")</f>
        <v>PERDIDA</v>
      </c>
      <c r="D89" s="69" t="str">
        <f aca="false">IF(OR(C89="ACTIVO",C89="PERDIDA"),"Deudor","Acreedor")</f>
        <v>Deudor</v>
      </c>
      <c r="E89" s="93" t="n">
        <f aca="false">SUMPRODUCT(('Libro Diario'!$A$10:$A$5000=$B$4)*('Libro Diario'!$E$10:$E$5000=A89)*(YEAR('Libro Diario'!$C$10:$C$5000)=$E$4)*('Libro Diario'!$H$10:$H$5000))</f>
        <v>0</v>
      </c>
      <c r="F89" s="93" t="n">
        <f aca="false">SUMPRODUCT(('Libro Diario'!$A$10:$A$5000=$B$4)*('Libro Diario'!$E$10:$E$5000=A89)*(YEAR('Libro Diario'!$C$10:$C$5000)=$E$4)*('Libro Diario'!$I$10:$I$5000))</f>
        <v>0</v>
      </c>
      <c r="G89" s="93" t="str">
        <f aca="false">IF(E89&gt;F89,E89-F89,"")</f>
        <v/>
      </c>
      <c r="H89" s="93" t="str">
        <f aca="false">IF(F89&gt;E89,F89-E89,"")</f>
        <v/>
      </c>
      <c r="I89" s="94" t="n">
        <f aca="false">IF(OR(C89="ACTIVO",C89="PERDIDA"),E89-F89,F89-E89)</f>
        <v>0</v>
      </c>
    </row>
    <row r="90" customFormat="false" ht="18" hidden="false" customHeight="true" outlineLevel="0" collapsed="false">
      <c r="A90" s="89" t="n">
        <v>3201101</v>
      </c>
      <c r="B90" s="55" t="str">
        <f aca="false">IFERROR(INDEX(Cuentas!$C$8:$C$500,MATCH($B$4&amp;"|"&amp;A90,Cuentas!$A$8:$A$500&amp;"|"&amp;Cuentas!$B$8:$B$500,0)),"Impuesto 1a Categoria")</f>
        <v>Impuesto 1a Categoria</v>
      </c>
      <c r="C90" s="67" t="str">
        <f aca="false">IFERROR(INDEX(Cuentas!$D$8:$D$500,MATCH($B$4&amp;"|"&amp;A90,Cuentas!$A$8:$A$500&amp;"|"&amp;Cuentas!$B$8:$B$500,0)),"PERDIDA")</f>
        <v>PERDIDA</v>
      </c>
      <c r="D90" s="67" t="str">
        <f aca="false">IF(OR(C90="ACTIVO",C90="PERDIDA"),"Deudor","Acreedor")</f>
        <v>Deudor</v>
      </c>
      <c r="E90" s="90" t="n">
        <f aca="false">SUMPRODUCT(('Libro Diario'!$A$10:$A$5000=$B$4)*('Libro Diario'!$E$10:$E$5000=A90)*(YEAR('Libro Diario'!$C$10:$C$5000)=$E$4)*('Libro Diario'!$H$10:$H$5000))</f>
        <v>0</v>
      </c>
      <c r="F90" s="90" t="n">
        <f aca="false">SUMPRODUCT(('Libro Diario'!$A$10:$A$5000=$B$4)*('Libro Diario'!$E$10:$E$5000=A90)*(YEAR('Libro Diario'!$C$10:$C$5000)=$E$4)*('Libro Diario'!$I$10:$I$5000))</f>
        <v>0</v>
      </c>
      <c r="G90" s="90" t="str">
        <f aca="false">IF(E90&gt;F90,E90-F90,"")</f>
        <v/>
      </c>
      <c r="H90" s="90" t="str">
        <f aca="false">IF(F90&gt;E90,F90-E90,"")</f>
        <v/>
      </c>
      <c r="I90" s="91" t="n">
        <f aca="false">IF(OR(C90="ACTIVO",C90="PERDIDA"),E90-F90,F90-E90)</f>
        <v>0</v>
      </c>
    </row>
    <row r="91" customFormat="false" ht="18" hidden="false" customHeight="true" outlineLevel="0" collapsed="false">
      <c r="A91" s="92" t="n">
        <v>3201102</v>
      </c>
      <c r="B91" s="54" t="str">
        <f aca="false">IFERROR(INDEX(Cuentas!$C$8:$C$500,MATCH($B$4&amp;"|"&amp;A91,Cuentas!$A$8:$A$500&amp;"|"&amp;Cuentas!$B$8:$B$500,0)),"Servicios incobrables")</f>
        <v>Servicios incobrables</v>
      </c>
      <c r="C91" s="69" t="str">
        <f aca="false">IFERROR(INDEX(Cuentas!$D$8:$D$500,MATCH($B$4&amp;"|"&amp;A91,Cuentas!$A$8:$A$500&amp;"|"&amp;Cuentas!$B$8:$B$500,0)),"PERDIDA")</f>
        <v>PERDIDA</v>
      </c>
      <c r="D91" s="69" t="str">
        <f aca="false">IF(OR(C91="ACTIVO",C91="PERDIDA"),"Deudor","Acreedor")</f>
        <v>Deudor</v>
      </c>
      <c r="E91" s="93" t="n">
        <f aca="false">SUMPRODUCT(('Libro Diario'!$A$10:$A$5000=$B$4)*('Libro Diario'!$E$10:$E$5000=A91)*(YEAR('Libro Diario'!$C$10:$C$5000)=$E$4)*('Libro Diario'!$H$10:$H$5000))</f>
        <v>0</v>
      </c>
      <c r="F91" s="93" t="n">
        <f aca="false">SUMPRODUCT(('Libro Diario'!$A$10:$A$5000=$B$4)*('Libro Diario'!$E$10:$E$5000=A91)*(YEAR('Libro Diario'!$C$10:$C$5000)=$E$4)*('Libro Diario'!$I$10:$I$5000))</f>
        <v>0</v>
      </c>
      <c r="G91" s="93" t="str">
        <f aca="false">IF(E91&gt;F91,E91-F91,"")</f>
        <v/>
      </c>
      <c r="H91" s="93" t="str">
        <f aca="false">IF(F91&gt;E91,F91-E91,"")</f>
        <v/>
      </c>
      <c r="I91" s="94" t="n">
        <f aca="false">IF(OR(C91="ACTIVO",C91="PERDIDA"),E91-F91,F91-E91)</f>
        <v>0</v>
      </c>
    </row>
    <row r="92" customFormat="false" ht="18" hidden="false" customHeight="true" outlineLevel="0" collapsed="false">
      <c r="A92" s="89" t="n">
        <v>3201103</v>
      </c>
      <c r="B92" s="55" t="str">
        <f aca="false">IFERROR(INDEX(Cuentas!$C$8:$C$500,MATCH($B$4&amp;"|"&amp;A92,Cuentas!$A$8:$A$500&amp;"|"&amp;Cuentas!$B$8:$B$500,0)),"Patentes y Derechos Municipales")</f>
        <v>Patentes y Derechos Municipales</v>
      </c>
      <c r="C92" s="67" t="str">
        <f aca="false">IFERROR(INDEX(Cuentas!$D$8:$D$500,MATCH($B$4&amp;"|"&amp;A92,Cuentas!$A$8:$A$500&amp;"|"&amp;Cuentas!$B$8:$B$500,0)),"PERDIDA")</f>
        <v>PERDIDA</v>
      </c>
      <c r="D92" s="67" t="str">
        <f aca="false">IF(OR(C92="ACTIVO",C92="PERDIDA"),"Deudor","Acreedor")</f>
        <v>Deudor</v>
      </c>
      <c r="E92" s="90" t="n">
        <f aca="false">SUMPRODUCT(('Libro Diario'!$A$10:$A$5000=$B$4)*('Libro Diario'!$E$10:$E$5000=A92)*(YEAR('Libro Diario'!$C$10:$C$5000)=$E$4)*('Libro Diario'!$H$10:$H$5000))</f>
        <v>0</v>
      </c>
      <c r="F92" s="90" t="n">
        <f aca="false">SUMPRODUCT(('Libro Diario'!$A$10:$A$5000=$B$4)*('Libro Diario'!$E$10:$E$5000=A92)*(YEAR('Libro Diario'!$C$10:$C$5000)=$E$4)*('Libro Diario'!$I$10:$I$5000))</f>
        <v>0</v>
      </c>
      <c r="G92" s="90" t="str">
        <f aca="false">IF(E92&gt;F92,E92-F92,"")</f>
        <v/>
      </c>
      <c r="H92" s="90" t="str">
        <f aca="false">IF(F92&gt;E92,F92-E92,"")</f>
        <v/>
      </c>
      <c r="I92" s="91" t="n">
        <f aca="false">IF(OR(C92="ACTIVO",C92="PERDIDA"),E92-F92,F92-E92)</f>
        <v>0</v>
      </c>
    </row>
    <row r="93" customFormat="false" ht="18" hidden="false" customHeight="true" outlineLevel="0" collapsed="false">
      <c r="A93" s="92" t="n">
        <v>3201104</v>
      </c>
      <c r="B93" s="54" t="str">
        <f aca="false">IFERROR(INDEX(Cuentas!$C$8:$C$500,MATCH($B$4&amp;"|"&amp;A93,Cuentas!$A$8:$A$500&amp;"|"&amp;Cuentas!$B$8:$B$500,0)),"Otros Impuestos")</f>
        <v>Otros Impuestos</v>
      </c>
      <c r="C93" s="69" t="str">
        <f aca="false">IFERROR(INDEX(Cuentas!$D$8:$D$500,MATCH($B$4&amp;"|"&amp;A93,Cuentas!$A$8:$A$500&amp;"|"&amp;Cuentas!$B$8:$B$500,0)),"PERDIDA")</f>
        <v>PERDIDA</v>
      </c>
      <c r="D93" s="69" t="str">
        <f aca="false">IF(OR(C93="ACTIVO",C93="PERDIDA"),"Deudor","Acreedor")</f>
        <v>Deudor</v>
      </c>
      <c r="E93" s="93" t="n">
        <f aca="false">SUMPRODUCT(('Libro Diario'!$A$10:$A$5000=$B$4)*('Libro Diario'!$E$10:$E$5000=A93)*(YEAR('Libro Diario'!$C$10:$C$5000)=$E$4)*('Libro Diario'!$H$10:$H$5000))</f>
        <v>0</v>
      </c>
      <c r="F93" s="93" t="n">
        <f aca="false">SUMPRODUCT(('Libro Diario'!$A$10:$A$5000=$B$4)*('Libro Diario'!$E$10:$E$5000=A93)*(YEAR('Libro Diario'!$C$10:$C$5000)=$E$4)*('Libro Diario'!$I$10:$I$5000))</f>
        <v>0</v>
      </c>
      <c r="G93" s="93" t="str">
        <f aca="false">IF(E93&gt;F93,E93-F93,"")</f>
        <v/>
      </c>
      <c r="H93" s="93" t="str">
        <f aca="false">IF(F93&gt;E93,F93-E93,"")</f>
        <v/>
      </c>
      <c r="I93" s="94" t="n">
        <f aca="false">IF(OR(C93="ACTIVO",C93="PERDIDA"),E93-F93,F93-E93)</f>
        <v>0</v>
      </c>
    </row>
    <row r="94" customFormat="false" ht="18" hidden="false" customHeight="true" outlineLevel="0" collapsed="false">
      <c r="A94" s="89" t="n">
        <v>3201401</v>
      </c>
      <c r="B94" s="55" t="str">
        <f aca="false">IFERROR(INDEX(Cuentas!$C$8:$C$500,MATCH($B$4&amp;"|"&amp;A94,Cuentas!$A$8:$A$500&amp;"|"&amp;Cuentas!$B$8:$B$500,0)),"Depreciacion Vehiculos")</f>
        <v>Depreciacion Vehiculos</v>
      </c>
      <c r="C94" s="67" t="str">
        <f aca="false">IFERROR(INDEX(Cuentas!$D$8:$D$500,MATCH($B$4&amp;"|"&amp;A94,Cuentas!$A$8:$A$500&amp;"|"&amp;Cuentas!$B$8:$B$500,0)),"PERDIDA")</f>
        <v>PERDIDA</v>
      </c>
      <c r="D94" s="67" t="str">
        <f aca="false">IF(OR(C94="ACTIVO",C94="PERDIDA"),"Deudor","Acreedor")</f>
        <v>Deudor</v>
      </c>
      <c r="E94" s="90" t="n">
        <f aca="false">SUMPRODUCT(('Libro Diario'!$A$10:$A$5000=$B$4)*('Libro Diario'!$E$10:$E$5000=A94)*(YEAR('Libro Diario'!$C$10:$C$5000)=$E$4)*('Libro Diario'!$H$10:$H$5000))</f>
        <v>0</v>
      </c>
      <c r="F94" s="90" t="n">
        <f aca="false">SUMPRODUCT(('Libro Diario'!$A$10:$A$5000=$B$4)*('Libro Diario'!$E$10:$E$5000=A94)*(YEAR('Libro Diario'!$C$10:$C$5000)=$E$4)*('Libro Diario'!$I$10:$I$5000))</f>
        <v>0</v>
      </c>
      <c r="G94" s="90" t="str">
        <f aca="false">IF(E94&gt;F94,E94-F94,"")</f>
        <v/>
      </c>
      <c r="H94" s="90" t="str">
        <f aca="false">IF(F94&gt;E94,F94-E94,"")</f>
        <v/>
      </c>
      <c r="I94" s="91" t="n">
        <f aca="false">IF(OR(C94="ACTIVO",C94="PERDIDA"),E94-F94,F94-E94)</f>
        <v>0</v>
      </c>
    </row>
    <row r="95" customFormat="false" ht="18" hidden="false" customHeight="true" outlineLevel="0" collapsed="false">
      <c r="A95" s="92" t="n">
        <v>3201402</v>
      </c>
      <c r="B95" s="54" t="str">
        <f aca="false">IFERROR(INDEX(Cuentas!$C$8:$C$500,MATCH($B$4&amp;"|"&amp;A95,Cuentas!$A$8:$A$500&amp;"|"&amp;Cuentas!$B$8:$B$500,0)),"Depreciacion")</f>
        <v>Depreciacion</v>
      </c>
      <c r="C95" s="69" t="str">
        <f aca="false">IFERROR(INDEX(Cuentas!$D$8:$D$500,MATCH($B$4&amp;"|"&amp;A95,Cuentas!$A$8:$A$500&amp;"|"&amp;Cuentas!$B$8:$B$500,0)),"PERDIDA")</f>
        <v>PERDIDA</v>
      </c>
      <c r="D95" s="69" t="str">
        <f aca="false">IF(OR(C95="ACTIVO",C95="PERDIDA"),"Deudor","Acreedor")</f>
        <v>Deudor</v>
      </c>
      <c r="E95" s="93" t="n">
        <f aca="false">SUMPRODUCT(('Libro Diario'!$A$10:$A$5000=$B$4)*('Libro Diario'!$E$10:$E$5000=A95)*(YEAR('Libro Diario'!$C$10:$C$5000)=$E$4)*('Libro Diario'!$H$10:$H$5000))</f>
        <v>0</v>
      </c>
      <c r="F95" s="93" t="n">
        <f aca="false">SUMPRODUCT(('Libro Diario'!$A$10:$A$5000=$B$4)*('Libro Diario'!$E$10:$E$5000=A95)*(YEAR('Libro Diario'!$C$10:$C$5000)=$E$4)*('Libro Diario'!$I$10:$I$5000))</f>
        <v>0</v>
      </c>
      <c r="G95" s="93" t="str">
        <f aca="false">IF(E95&gt;F95,E95-F95,"")</f>
        <v/>
      </c>
      <c r="H95" s="93" t="str">
        <f aca="false">IF(F95&gt;E95,F95-E95,"")</f>
        <v/>
      </c>
      <c r="I95" s="94" t="n">
        <f aca="false">IF(OR(C95="ACTIVO",C95="PERDIDA"),E95-F95,F95-E95)</f>
        <v>0</v>
      </c>
    </row>
    <row r="96" customFormat="false" ht="18" hidden="false" customHeight="true" outlineLevel="0" collapsed="false">
      <c r="A96" s="89" t="n">
        <v>3201403</v>
      </c>
      <c r="B96" s="55" t="str">
        <f aca="false">IFERROR(INDEX(Cuentas!$C$8:$C$500,MATCH($B$4&amp;"|"&amp;A96,Cuentas!$A$8:$A$500&amp;"|"&amp;Cuentas!$B$8:$B$500,0)),"Depreciacion Carros y Remolques")</f>
        <v>Depreciacion Carros y Remolques</v>
      </c>
      <c r="C96" s="67" t="str">
        <f aca="false">IFERROR(INDEX(Cuentas!$D$8:$D$500,MATCH($B$4&amp;"|"&amp;A96,Cuentas!$A$8:$A$500&amp;"|"&amp;Cuentas!$B$8:$B$500,0)),"PERDIDA")</f>
        <v>PERDIDA</v>
      </c>
      <c r="D96" s="67" t="str">
        <f aca="false">IF(OR(C96="ACTIVO",C96="PERDIDA"),"Deudor","Acreedor")</f>
        <v>Deudor</v>
      </c>
      <c r="E96" s="90" t="n">
        <f aca="false">SUMPRODUCT(('Libro Diario'!$A$10:$A$5000=$B$4)*('Libro Diario'!$E$10:$E$5000=A96)*(YEAR('Libro Diario'!$C$10:$C$5000)=$E$4)*('Libro Diario'!$H$10:$H$5000))</f>
        <v>0</v>
      </c>
      <c r="F96" s="90" t="n">
        <f aca="false">SUMPRODUCT(('Libro Diario'!$A$10:$A$5000=$B$4)*('Libro Diario'!$E$10:$E$5000=A96)*(YEAR('Libro Diario'!$C$10:$C$5000)=$E$4)*('Libro Diario'!$I$10:$I$5000))</f>
        <v>0</v>
      </c>
      <c r="G96" s="90" t="str">
        <f aca="false">IF(E96&gt;F96,E96-F96,"")</f>
        <v/>
      </c>
      <c r="H96" s="90" t="str">
        <f aca="false">IF(F96&gt;E96,F96-E96,"")</f>
        <v/>
      </c>
      <c r="I96" s="91" t="n">
        <f aca="false">IF(OR(C96="ACTIVO",C96="PERDIDA"),E96-F96,F96-E96)</f>
        <v>0</v>
      </c>
    </row>
    <row r="97" customFormat="false" ht="18" hidden="false" customHeight="true" outlineLevel="0" collapsed="false">
      <c r="A97" s="92" t="n">
        <v>3201404</v>
      </c>
      <c r="B97" s="54" t="str">
        <f aca="false">IFERROR(INDEX(Cuentas!$C$8:$C$500,MATCH($B$4&amp;"|"&amp;A97,Cuentas!$A$8:$A$500&amp;"|"&amp;Cuentas!$B$8:$B$500,0)),"Depreciacion Muebles, Utiles e Instalaciones")</f>
        <v>Depreciacion Muebles, Utiles e Instalaciones</v>
      </c>
      <c r="C97" s="69" t="str">
        <f aca="false">IFERROR(INDEX(Cuentas!$D$8:$D$500,MATCH($B$4&amp;"|"&amp;A97,Cuentas!$A$8:$A$500&amp;"|"&amp;Cuentas!$B$8:$B$500,0)),"PERDIDA")</f>
        <v>PERDIDA</v>
      </c>
      <c r="D97" s="69" t="str">
        <f aca="false">IF(OR(C97="ACTIVO",C97="PERDIDA"),"Deudor","Acreedor")</f>
        <v>Deudor</v>
      </c>
      <c r="E97" s="93" t="n">
        <f aca="false">SUMPRODUCT(('Libro Diario'!$A$10:$A$5000=$B$4)*('Libro Diario'!$E$10:$E$5000=A97)*(YEAR('Libro Diario'!$C$10:$C$5000)=$E$4)*('Libro Diario'!$H$10:$H$5000))</f>
        <v>0</v>
      </c>
      <c r="F97" s="93" t="n">
        <f aca="false">SUMPRODUCT(('Libro Diario'!$A$10:$A$5000=$B$4)*('Libro Diario'!$E$10:$E$5000=A97)*(YEAR('Libro Diario'!$C$10:$C$5000)=$E$4)*('Libro Diario'!$I$10:$I$5000))</f>
        <v>0</v>
      </c>
      <c r="G97" s="93" t="str">
        <f aca="false">IF(E97&gt;F97,E97-F97,"")</f>
        <v/>
      </c>
      <c r="H97" s="93" t="str">
        <f aca="false">IF(F97&gt;E97,F97-E97,"")</f>
        <v/>
      </c>
      <c r="I97" s="94" t="n">
        <f aca="false">IF(OR(C97="ACTIVO",C97="PERDIDA"),E97-F97,F97-E97)</f>
        <v>0</v>
      </c>
    </row>
    <row r="98" customFormat="false" ht="18" hidden="false" customHeight="true" outlineLevel="0" collapsed="false">
      <c r="A98" s="89" t="n">
        <v>3201501</v>
      </c>
      <c r="B98" s="55" t="str">
        <f aca="false">IFERROR(INDEX(Cuentas!$C$8:$C$500,MATCH($B$4&amp;"|"&amp;A98,Cuentas!$A$8:$A$500&amp;"|"&amp;Cuentas!$B$8:$B$500,0)),"Correccion Monetaria")</f>
        <v>Correccion Monetaria</v>
      </c>
      <c r="C98" s="67" t="str">
        <f aca="false">IFERROR(INDEX(Cuentas!$D$8:$D$500,MATCH($B$4&amp;"|"&amp;A98,Cuentas!$A$8:$A$500&amp;"|"&amp;Cuentas!$B$8:$B$500,0)),"PERDIDA")</f>
        <v>PERDIDA</v>
      </c>
      <c r="D98" s="67" t="str">
        <f aca="false">IF(OR(C98="ACTIVO",C98="PERDIDA"),"Deudor","Acreedor")</f>
        <v>Deudor</v>
      </c>
      <c r="E98" s="90" t="n">
        <f aca="false">SUMPRODUCT(('Libro Diario'!$A$10:$A$5000=$B$4)*('Libro Diario'!$E$10:$E$5000=A98)*(YEAR('Libro Diario'!$C$10:$C$5000)=$E$4)*('Libro Diario'!$H$10:$H$5000))</f>
        <v>0</v>
      </c>
      <c r="F98" s="90" t="n">
        <f aca="false">SUMPRODUCT(('Libro Diario'!$A$10:$A$5000=$B$4)*('Libro Diario'!$E$10:$E$5000=A98)*(YEAR('Libro Diario'!$C$10:$C$5000)=$E$4)*('Libro Diario'!$I$10:$I$5000))</f>
        <v>0</v>
      </c>
      <c r="G98" s="90" t="str">
        <f aca="false">IF(E98&gt;F98,E98-F98,"")</f>
        <v/>
      </c>
      <c r="H98" s="90" t="str">
        <f aca="false">IF(F98&gt;E98,F98-E98,"")</f>
        <v/>
      </c>
      <c r="I98" s="91" t="n">
        <f aca="false">IF(OR(C98="ACTIVO",C98="PERDIDA"),E98-F98,F98-E98)</f>
        <v>0</v>
      </c>
    </row>
    <row r="99" customFormat="false" ht="18" hidden="false" customHeight="true" outlineLevel="0" collapsed="false">
      <c r="A99" s="92" t="n">
        <v>4101001</v>
      </c>
      <c r="B99" s="54" t="str">
        <f aca="false">IFERROR(INDEX(Cuentas!$C$8:$C$500,MATCH($B$4&amp;"|"&amp;A99,Cuentas!$A$8:$A$500&amp;"|"&amp;Cuentas!$B$8:$B$500,0)),"Ventas")</f>
        <v>Ventas</v>
      </c>
      <c r="C99" s="69" t="str">
        <f aca="false">IFERROR(INDEX(Cuentas!$D$8:$D$500,MATCH($B$4&amp;"|"&amp;A99,Cuentas!$A$8:$A$500&amp;"|"&amp;Cuentas!$B$8:$B$500,0)),"GANANCIA")</f>
        <v>GANANCIA</v>
      </c>
      <c r="D99" s="69" t="str">
        <f aca="false">IF(OR(C99="ACTIVO",C99="PERDIDA"),"Deudor","Acreedor")</f>
        <v>Acreedor</v>
      </c>
      <c r="E99" s="93" t="n">
        <f aca="false">SUMPRODUCT(('Libro Diario'!$A$10:$A$5000=$B$4)*('Libro Diario'!$E$10:$E$5000=A99)*(YEAR('Libro Diario'!$C$10:$C$5000)=$E$4)*('Libro Diario'!$H$10:$H$5000))</f>
        <v>0</v>
      </c>
      <c r="F99" s="93" t="n">
        <f aca="false">SUMPRODUCT(('Libro Diario'!$A$10:$A$5000=$B$4)*('Libro Diario'!$E$10:$E$5000=A99)*(YEAR('Libro Diario'!$C$10:$C$5000)=$E$4)*('Libro Diario'!$I$10:$I$5000))</f>
        <v>0</v>
      </c>
      <c r="G99" s="93" t="str">
        <f aca="false">IF(E99&gt;F99,E99-F99,"")</f>
        <v/>
      </c>
      <c r="H99" s="93" t="str">
        <f aca="false">IF(F99&gt;E99,F99-E99,"")</f>
        <v/>
      </c>
      <c r="I99" s="94" t="n">
        <f aca="false">IF(OR(C99="ACTIVO",C99="PERDIDA"),E99-F99,F99-E99)</f>
        <v>0</v>
      </c>
    </row>
    <row r="100" customFormat="false" ht="18" hidden="false" customHeight="true" outlineLevel="0" collapsed="false">
      <c r="A100" s="89" t="n">
        <v>4101002</v>
      </c>
      <c r="B100" s="55" t="str">
        <f aca="false">IFERROR(INDEX(Cuentas!$C$8:$C$500,MATCH($B$4&amp;"|"&amp;A100,Cuentas!$A$8:$A$500&amp;"|"&amp;Cuentas!$B$8:$B$500,0)),"Descuentos ganados")</f>
        <v>Descuentos ganados</v>
      </c>
      <c r="C100" s="67" t="str">
        <f aca="false">IFERROR(INDEX(Cuentas!$D$8:$D$500,MATCH($B$4&amp;"|"&amp;A100,Cuentas!$A$8:$A$500&amp;"|"&amp;Cuentas!$B$8:$B$500,0)),"GANANCIA")</f>
        <v>GANANCIA</v>
      </c>
      <c r="D100" s="67" t="str">
        <f aca="false">IF(OR(C100="ACTIVO",C100="PERDIDA"),"Deudor","Acreedor")</f>
        <v>Acreedor</v>
      </c>
      <c r="E100" s="90" t="n">
        <f aca="false">SUMPRODUCT(('Libro Diario'!$A$10:$A$5000=$B$4)*('Libro Diario'!$E$10:$E$5000=A100)*(YEAR('Libro Diario'!$C$10:$C$5000)=$E$4)*('Libro Diario'!$H$10:$H$5000))</f>
        <v>0</v>
      </c>
      <c r="F100" s="90" t="n">
        <f aca="false">SUMPRODUCT(('Libro Diario'!$A$10:$A$5000=$B$4)*('Libro Diario'!$E$10:$E$5000=A100)*(YEAR('Libro Diario'!$C$10:$C$5000)=$E$4)*('Libro Diario'!$I$10:$I$5000))</f>
        <v>0</v>
      </c>
      <c r="G100" s="90" t="str">
        <f aca="false">IF(E100&gt;F100,E100-F100,"")</f>
        <v/>
      </c>
      <c r="H100" s="90" t="str">
        <f aca="false">IF(F100&gt;E100,F100-E100,"")</f>
        <v/>
      </c>
      <c r="I100" s="91" t="n">
        <f aca="false">IF(OR(C100="ACTIVO",C100="PERDIDA"),E100-F100,F100-E100)</f>
        <v>0</v>
      </c>
    </row>
    <row r="101" customFormat="false" ht="18" hidden="false" customHeight="true" outlineLevel="0" collapsed="false">
      <c r="A101" s="92" t="n">
        <v>4201101</v>
      </c>
      <c r="B101" s="54" t="str">
        <f aca="false">IFERROR(INDEX(Cuentas!$C$8:$C$500,MATCH($B$4&amp;"|"&amp;A101,Cuentas!$A$8:$A$500&amp;"|"&amp;Cuentas!$B$8:$B$500,0)),"Otros IngresosResultado Venta Avtivo Fijo")</f>
        <v>Otros IngresosResultado Venta Avtivo Fijo</v>
      </c>
      <c r="C101" s="69" t="str">
        <f aca="false">IFERROR(INDEX(Cuentas!$D$8:$D$500,MATCH($B$4&amp;"|"&amp;A101,Cuentas!$A$8:$A$500&amp;"|"&amp;Cuentas!$B$8:$B$500,0)),"GANANCIA")</f>
        <v>GANANCIA</v>
      </c>
      <c r="D101" s="69" t="str">
        <f aca="false">IF(OR(C101="ACTIVO",C101="PERDIDA"),"Deudor","Acreedor")</f>
        <v>Acreedor</v>
      </c>
      <c r="E101" s="93" t="n">
        <f aca="false">SUMPRODUCT(('Libro Diario'!$A$10:$A$5000=$B$4)*('Libro Diario'!$E$10:$E$5000=A101)*(YEAR('Libro Diario'!$C$10:$C$5000)=$E$4)*('Libro Diario'!$H$10:$H$5000))</f>
        <v>0</v>
      </c>
      <c r="F101" s="93" t="n">
        <f aca="false">SUMPRODUCT(('Libro Diario'!$A$10:$A$5000=$B$4)*('Libro Diario'!$E$10:$E$5000=A101)*(YEAR('Libro Diario'!$C$10:$C$5000)=$E$4)*('Libro Diario'!$I$10:$I$5000))</f>
        <v>0</v>
      </c>
      <c r="G101" s="93" t="str">
        <f aca="false">IF(E101&gt;F101,E101-F101,"")</f>
        <v/>
      </c>
      <c r="H101" s="93" t="str">
        <f aca="false">IF(F101&gt;E101,F101-E101,"")</f>
        <v/>
      </c>
      <c r="I101" s="94" t="n">
        <f aca="false">IF(OR(C101="ACTIVO",C101="PERDIDA"),E101-F101,F101-E101)</f>
        <v>0</v>
      </c>
    </row>
    <row r="102" customFormat="false" ht="18" hidden="false" customHeight="true" outlineLevel="0" collapsed="false">
      <c r="A102" s="89" t="n">
        <v>4201102</v>
      </c>
      <c r="B102" s="55" t="str">
        <f aca="false">IFERROR(INDEX(Cuentas!$C$8:$C$500,MATCH($B$4&amp;"|"&amp;A102,Cuentas!$A$8:$A$500&amp;"|"&amp;Cuentas!$B$8:$B$500,0)),"Otros Ingresos")</f>
        <v>Otros Ingresos</v>
      </c>
      <c r="C102" s="67" t="str">
        <f aca="false">IFERROR(INDEX(Cuentas!$D$8:$D$500,MATCH($B$4&amp;"|"&amp;A102,Cuentas!$A$8:$A$500&amp;"|"&amp;Cuentas!$B$8:$B$500,0)),"GANANCIA")</f>
        <v>GANANCIA</v>
      </c>
      <c r="D102" s="67" t="str">
        <f aca="false">IF(OR(C102="ACTIVO",C102="PERDIDA"),"Deudor","Acreedor")</f>
        <v>Acreedor</v>
      </c>
      <c r="E102" s="90" t="n">
        <f aca="false">SUMPRODUCT(('Libro Diario'!$A$10:$A$5000=$B$4)*('Libro Diario'!$E$10:$E$5000=A102)*(YEAR('Libro Diario'!$C$10:$C$5000)=$E$4)*('Libro Diario'!$H$10:$H$5000))</f>
        <v>0</v>
      </c>
      <c r="F102" s="90" t="n">
        <f aca="false">SUMPRODUCT(('Libro Diario'!$A$10:$A$5000=$B$4)*('Libro Diario'!$E$10:$E$5000=A102)*(YEAR('Libro Diario'!$C$10:$C$5000)=$E$4)*('Libro Diario'!$I$10:$I$5000))</f>
        <v>0</v>
      </c>
      <c r="G102" s="90" t="str">
        <f aca="false">IF(E102&gt;F102,E102-F102,"")</f>
        <v/>
      </c>
      <c r="H102" s="90" t="str">
        <f aca="false">IF(F102&gt;E102,F102-E102,"")</f>
        <v/>
      </c>
      <c r="I102" s="91" t="n">
        <f aca="false">IF(OR(C102="ACTIVO",C102="PERDIDA"),E102-F102,F102-E102)</f>
        <v>0</v>
      </c>
    </row>
    <row r="103" customFormat="false" ht="24" hidden="false" customHeight="true" outlineLevel="0" collapsed="false">
      <c r="A103" s="95" t="s">
        <v>557</v>
      </c>
      <c r="B103" s="95"/>
      <c r="C103" s="95"/>
      <c r="D103" s="95"/>
      <c r="E103" s="96" t="n">
        <f aca="false">SUM(E8:E102)</f>
        <v>0</v>
      </c>
      <c r="F103" s="96" t="n">
        <f aca="false">SUM(F8:F102)</f>
        <v>0</v>
      </c>
      <c r="G103" s="96" t="n">
        <f aca="false">SUM(G8:G102)</f>
        <v>0</v>
      </c>
      <c r="H103" s="96" t="n">
        <f aca="false">SUM(H8:H102)</f>
        <v>0</v>
      </c>
      <c r="I103" s="96" t="n">
        <f aca="false">SUM(I8:I102)</f>
        <v>0</v>
      </c>
    </row>
  </sheetData>
  <mergeCells count="6">
    <mergeCell ref="A1:I1"/>
    <mergeCell ref="A2:I2"/>
    <mergeCell ref="A3:I3"/>
    <mergeCell ref="B4:C4"/>
    <mergeCell ref="A7:I7"/>
    <mergeCell ref="A103:D103"/>
  </mergeCells>
  <dataValidations count="2">
    <dataValidation allowBlank="false" error="Seleccione un cliente válido." errorStyle="stop" errorTitle="Cliente inválido" operator="between" showDropDown="false" showErrorMessage="true" showInputMessage="false" sqref="B4" type="list">
      <formula1>Clientes!$A$4:$A$200</formula1>
      <formula2>0</formula2>
    </dataValidation>
    <dataValidation allowBlank="false" error="Ingrese un año entre 2020 y 2035." errorStyle="stop" errorTitle="Año inválido" operator="between" prompt="Ingrese el año (ej: 2025)" promptTitle="Año" showDropDown="false" showErrorMessage="true" showInputMessage="false" sqref="E4" type="whole">
      <formula1>2020</formula1>
      <formula2>2035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474F"/>
    <pageSetUpPr fitToPage="false"/>
  </sheetPr>
  <dimension ref="A1:D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8"/>
    <col collapsed="false" customWidth="true" hidden="false" outlineLevel="0" max="3" min="3" style="1" width="32"/>
    <col collapsed="false" customWidth="true" hidden="false" outlineLevel="0" max="4" min="4" style="1" width="16"/>
  </cols>
  <sheetData>
    <row r="1" customFormat="false" ht="39.75" hidden="false" customHeight="true" outlineLevel="0" collapsed="false">
      <c r="A1" s="48" t="s">
        <v>558</v>
      </c>
      <c r="B1" s="48"/>
      <c r="C1" s="48"/>
      <c r="D1" s="48"/>
    </row>
    <row r="2" customFormat="false" ht="6" hidden="false" customHeight="true" outlineLevel="0" collapsed="false"/>
    <row r="3" customFormat="false" ht="51.75" hidden="false" customHeight="true" outlineLevel="0" collapsed="false">
      <c r="A3" s="97" t="s">
        <v>559</v>
      </c>
      <c r="B3" s="97"/>
      <c r="C3" s="97"/>
      <c r="D3" s="97"/>
    </row>
    <row r="4" customFormat="false" ht="7.5" hidden="false" customHeight="true" outlineLevel="0" collapsed="false"/>
    <row r="5" customFormat="false" ht="25.5" hidden="false" customHeight="true" outlineLevel="0" collapsed="false">
      <c r="A5" s="56" t="s">
        <v>418</v>
      </c>
      <c r="B5" s="85" t="s">
        <v>398</v>
      </c>
      <c r="C5" s="56" t="s">
        <v>548</v>
      </c>
      <c r="D5" s="86" t="n">
        <v>2025</v>
      </c>
    </row>
    <row r="6" customFormat="false" ht="7.5" hidden="false" customHeight="true" outlineLevel="0" collapsed="false"/>
    <row r="7" customFormat="false" ht="24" hidden="false" customHeight="true" outlineLevel="0" collapsed="false">
      <c r="A7" s="98" t="str">
        <f aca="false">IFERROR(INDEX(Clientes!$C$4:$C$200,MATCH(B5,Clientes!$A$4:$A$200,0)),"[Seleccione un cliente]")&amp;"  —  Balance General al 31 de Diciembre de "&amp;TEXT(D5,"0")</f>
        <v>← Ingrese aquí su primer cliente  —  Balance General al 31 de Diciembre de 2025</v>
      </c>
      <c r="B7" s="98"/>
      <c r="C7" s="98"/>
      <c r="D7" s="98"/>
    </row>
    <row r="8" customFormat="false" ht="19.5" hidden="false" customHeight="true" outlineLevel="0" collapsed="false">
      <c r="A8" s="99" t="s">
        <v>560</v>
      </c>
      <c r="B8" s="99"/>
      <c r="C8" s="99"/>
      <c r="D8" s="99" t="s">
        <v>561</v>
      </c>
    </row>
    <row r="9" customFormat="false" ht="19.5" hidden="false" customHeight="true" outlineLevel="0" collapsed="false">
      <c r="A9" s="100" t="s">
        <v>562</v>
      </c>
      <c r="B9" s="100"/>
      <c r="C9" s="100"/>
      <c r="D9" s="100"/>
    </row>
    <row r="10" customFormat="false" ht="19.5" hidden="false" customHeight="true" outlineLevel="0" collapsed="false">
      <c r="A10" s="101" t="s">
        <v>563</v>
      </c>
      <c r="B10" s="101"/>
      <c r="C10" s="101"/>
      <c r="D10" s="101"/>
    </row>
    <row r="11" customFormat="false" ht="25.5" hidden="false" customHeight="true" outlineLevel="0" collapsed="false">
      <c r="A11" s="102" t="s">
        <v>564</v>
      </c>
      <c r="B11" s="102"/>
      <c r="C11" s="102"/>
      <c r="D11" s="102"/>
    </row>
    <row r="12" customFormat="false" ht="18" hidden="false" customHeight="true" outlineLevel="0" collapsed="false">
      <c r="A12" s="55" t="s">
        <v>565</v>
      </c>
      <c r="B12" s="103"/>
      <c r="C12" s="104" t="s">
        <v>566</v>
      </c>
      <c r="D12" s="90" t="n">
        <f aca="false">SUMPRODUCT(('Libro Diario'!$A$10:$A$5000=$B$5)*('Libro Diario'!$E$10:$E$5000=1101001)*(YEAR('Libro Diario'!$C$10:$C$5000)=$D$5)*('Libro Diario'!$H$10:$H$5000))-SUMPRODUCT(('Libro Diario'!$A$10:$A$5000=$B$5)*('Libro Diario'!$E$10:$E$5000=1101001)*(YEAR('Libro Diario'!$C$10:$C$5000)=$D$5)*('Libro Diario'!$I$10:$I$5000))</f>
        <v>0</v>
      </c>
    </row>
    <row r="13" customFormat="false" ht="18" hidden="false" customHeight="true" outlineLevel="0" collapsed="false">
      <c r="A13" s="55" t="s">
        <v>567</v>
      </c>
      <c r="B13" s="103"/>
      <c r="C13" s="104" t="s">
        <v>568</v>
      </c>
      <c r="D13" s="90" t="n">
        <f aca="false">SUMPRODUCT(('Libro Diario'!$A$10:$A$5000=$B$5)*('Libro Diario'!$E$10:$E$5000=1101002)*(YEAR('Libro Diario'!$C$10:$C$5000)=$D$5)*('Libro Diario'!$H$10:$H$5000))-SUMPRODUCT(('Libro Diario'!$A$10:$A$5000=$B$5)*('Libro Diario'!$E$10:$E$5000=1101002)*(YEAR('Libro Diario'!$C$10:$C$5000)=$D$5)*('Libro Diario'!$I$10:$I$5000))</f>
        <v>0</v>
      </c>
    </row>
    <row r="14" customFormat="false" ht="18" hidden="false" customHeight="true" outlineLevel="0" collapsed="false">
      <c r="A14" s="55" t="s">
        <v>569</v>
      </c>
      <c r="B14" s="103"/>
      <c r="C14" s="104" t="s">
        <v>570</v>
      </c>
      <c r="D14" s="90" t="n">
        <f aca="false">SUMPRODUCT(('Libro Diario'!$A$10:$A$5000=$B$5)*('Libro Diario'!$E$10:$E$5000=1104001)*(YEAR('Libro Diario'!$C$10:$C$5000)=$D$5)*('Libro Diario'!$H$10:$H$5000))-SUMPRODUCT(('Libro Diario'!$A$10:$A$5000=$B$5)*('Libro Diario'!$E$10:$E$5000=1104001)*(YEAR('Libro Diario'!$C$10:$C$5000)=$D$5)*('Libro Diario'!$I$10:$I$5000))</f>
        <v>0</v>
      </c>
    </row>
    <row r="15" customFormat="false" ht="18" hidden="false" customHeight="true" outlineLevel="0" collapsed="false">
      <c r="A15" s="55" t="s">
        <v>571</v>
      </c>
      <c r="B15" s="103"/>
      <c r="C15" s="104" t="s">
        <v>572</v>
      </c>
      <c r="D15" s="90" t="n">
        <f aca="false">SUMPRODUCT(('Libro Diario'!$A$10:$A$5000=$B$5)*('Libro Diario'!$E$10:$E$5000=1106001)*(YEAR('Libro Diario'!$C$10:$C$5000)=$D$5)*('Libro Diario'!$H$10:$H$5000))-SUMPRODUCT(('Libro Diario'!$A$10:$A$5000=$B$5)*('Libro Diario'!$E$10:$E$5000=1106001)*(YEAR('Libro Diario'!$C$10:$C$5000)=$D$5)*('Libro Diario'!$I$10:$I$5000))</f>
        <v>0</v>
      </c>
    </row>
    <row r="16" customFormat="false" ht="18" hidden="false" customHeight="true" outlineLevel="0" collapsed="false">
      <c r="A16" s="55" t="s">
        <v>573</v>
      </c>
      <c r="B16" s="103"/>
      <c r="C16" s="104" t="s">
        <v>574</v>
      </c>
      <c r="D16" s="90" t="n">
        <f aca="false">SUMPRODUCT(('Libro Diario'!$A$10:$A$5000=$B$5)*('Libro Diario'!$E$10:$E$5000=1106002)*(YEAR('Libro Diario'!$C$10:$C$5000)=$D$5)*('Libro Diario'!$H$10:$H$5000))-SUMPRODUCT(('Libro Diario'!$A$10:$A$5000=$B$5)*('Libro Diario'!$E$10:$E$5000=1106002)*(YEAR('Libro Diario'!$C$10:$C$5000)=$D$5)*('Libro Diario'!$I$10:$I$5000))</f>
        <v>0</v>
      </c>
    </row>
    <row r="17" customFormat="false" ht="18" hidden="false" customHeight="true" outlineLevel="0" collapsed="false">
      <c r="A17" s="55" t="s">
        <v>575</v>
      </c>
      <c r="B17" s="103"/>
      <c r="C17" s="104" t="s">
        <v>574</v>
      </c>
      <c r="D17" s="90" t="n">
        <f aca="false">SUMPRODUCT(('Libro Diario'!$A$10:$A$5000=$B$5)*('Libro Diario'!$E$10:$E$5000=1106003)*(YEAR('Libro Diario'!$C$10:$C$5000)=$D$5)*('Libro Diario'!$H$10:$H$5000))-SUMPRODUCT(('Libro Diario'!$A$10:$A$5000=$B$5)*('Libro Diario'!$E$10:$E$5000=1106003)*(YEAR('Libro Diario'!$C$10:$C$5000)=$D$5)*('Libro Diario'!$I$10:$I$5000))</f>
        <v>0</v>
      </c>
    </row>
    <row r="18" customFormat="false" ht="18" hidden="false" customHeight="true" outlineLevel="0" collapsed="false">
      <c r="A18" s="55" t="s">
        <v>576</v>
      </c>
      <c r="B18" s="103"/>
      <c r="C18" s="104" t="s">
        <v>577</v>
      </c>
      <c r="D18" s="90" t="n">
        <f aca="false">SUMPRODUCT(('Libro Diario'!$A$10:$A$5000=$B$5)*('Libro Diario'!$E$10:$E$5000=1107101)*(YEAR('Libro Diario'!$C$10:$C$5000)=$D$5)*('Libro Diario'!$H$10:$H$5000))-SUMPRODUCT(('Libro Diario'!$A$10:$A$5000=$B$5)*('Libro Diario'!$E$10:$E$5000=1107101)*(YEAR('Libro Diario'!$C$10:$C$5000)=$D$5)*('Libro Diario'!$I$10:$I$5000))</f>
        <v>0</v>
      </c>
    </row>
    <row r="19" customFormat="false" ht="18" hidden="false" customHeight="true" outlineLevel="0" collapsed="false">
      <c r="A19" s="55" t="s">
        <v>578</v>
      </c>
      <c r="B19" s="103"/>
      <c r="C19" s="104" t="s">
        <v>579</v>
      </c>
      <c r="D19" s="90" t="n">
        <f aca="false">SUMPRODUCT(('Libro Diario'!$A$10:$A$5000=$B$5)*('Libro Diario'!$E$10:$E$5000=1107103)*(YEAR('Libro Diario'!$C$10:$C$5000)=$D$5)*('Libro Diario'!$H$10:$H$5000))-SUMPRODUCT(('Libro Diario'!$A$10:$A$5000=$B$5)*('Libro Diario'!$E$10:$E$5000=1107103)*(YEAR('Libro Diario'!$C$10:$C$5000)=$D$5)*('Libro Diario'!$I$10:$I$5000))</f>
        <v>0</v>
      </c>
    </row>
    <row r="20" customFormat="false" ht="18" hidden="false" customHeight="true" outlineLevel="0" collapsed="false">
      <c r="A20" s="55" t="s">
        <v>580</v>
      </c>
      <c r="B20" s="103"/>
      <c r="C20" s="104" t="s">
        <v>581</v>
      </c>
      <c r="D20" s="90" t="n">
        <f aca="false">SUMPRODUCT(('Libro Diario'!$A$10:$A$5000=$B$5)*('Libro Diario'!$E$10:$E$5000=1107201)*(YEAR('Libro Diario'!$C$10:$C$5000)=$D$5)*('Libro Diario'!$H$10:$H$5000))-SUMPRODUCT(('Libro Diario'!$A$10:$A$5000=$B$5)*('Libro Diario'!$E$10:$E$5000=1107201)*(YEAR('Libro Diario'!$C$10:$C$5000)=$D$5)*('Libro Diario'!$I$10:$I$5000))</f>
        <v>0</v>
      </c>
    </row>
    <row r="21" customFormat="false" ht="18" hidden="false" customHeight="true" outlineLevel="0" collapsed="false">
      <c r="A21" s="55" t="s">
        <v>582</v>
      </c>
      <c r="B21" s="103"/>
      <c r="C21" s="104" t="s">
        <v>583</v>
      </c>
      <c r="D21" s="90" t="n">
        <f aca="false">SUMPRODUCT(('Libro Diario'!$A$10:$A$5000=$B$5)*('Libro Diario'!$E$10:$E$5000=1107301)*(YEAR('Libro Diario'!$C$10:$C$5000)=$D$5)*('Libro Diario'!$H$10:$H$5000))-SUMPRODUCT(('Libro Diario'!$A$10:$A$5000=$B$5)*('Libro Diario'!$E$10:$E$5000=1107301)*(YEAR('Libro Diario'!$C$10:$C$5000)=$D$5)*('Libro Diario'!$I$10:$I$5000))</f>
        <v>0</v>
      </c>
    </row>
    <row r="22" customFormat="false" ht="18" hidden="false" customHeight="true" outlineLevel="0" collapsed="false">
      <c r="A22" s="55" t="s">
        <v>584</v>
      </c>
      <c r="B22" s="103"/>
      <c r="C22" s="104" t="s">
        <v>585</v>
      </c>
      <c r="D22" s="90" t="n">
        <f aca="false">SUMPRODUCT(('Libro Diario'!$A$10:$A$5000=$B$5)*('Libro Diario'!$E$10:$E$5000=1107302)*(YEAR('Libro Diario'!$C$10:$C$5000)=$D$5)*('Libro Diario'!$H$10:$H$5000))-SUMPRODUCT(('Libro Diario'!$A$10:$A$5000=$B$5)*('Libro Diario'!$E$10:$E$5000=1107302)*(YEAR('Libro Diario'!$C$10:$C$5000)=$D$5)*('Libro Diario'!$I$10:$I$5000))</f>
        <v>0</v>
      </c>
    </row>
    <row r="23" customFormat="false" ht="18" hidden="false" customHeight="true" outlineLevel="0" collapsed="false">
      <c r="A23" s="55" t="s">
        <v>586</v>
      </c>
      <c r="B23" s="103"/>
      <c r="C23" s="104" t="s">
        <v>587</v>
      </c>
      <c r="D23" s="90" t="n">
        <f aca="false">SUMPRODUCT(('Libro Diario'!$A$10:$A$5000=$B$5)*('Libro Diario'!$E$10:$E$5000=1107401)*(YEAR('Libro Diario'!$C$10:$C$5000)=$D$5)*('Libro Diario'!$H$10:$H$5000))-SUMPRODUCT(('Libro Diario'!$A$10:$A$5000=$B$5)*('Libro Diario'!$E$10:$E$5000=1107401)*(YEAR('Libro Diario'!$C$10:$C$5000)=$D$5)*('Libro Diario'!$I$10:$I$5000))</f>
        <v>0</v>
      </c>
    </row>
    <row r="24" customFormat="false" ht="18" hidden="false" customHeight="true" outlineLevel="0" collapsed="false">
      <c r="A24" s="55" t="s">
        <v>588</v>
      </c>
      <c r="B24" s="103"/>
      <c r="C24" s="104" t="s">
        <v>589</v>
      </c>
      <c r="D24" s="90" t="n">
        <f aca="false">SUMPRODUCT(('Libro Diario'!$A$10:$A$5000=$B$5)*('Libro Diario'!$E$10:$E$5000=1107402)*(YEAR('Libro Diario'!$C$10:$C$5000)=$D$5)*('Libro Diario'!$H$10:$H$5000))-SUMPRODUCT(('Libro Diario'!$A$10:$A$5000=$B$5)*('Libro Diario'!$E$10:$E$5000=1107402)*(YEAR('Libro Diario'!$C$10:$C$5000)=$D$5)*('Libro Diario'!$I$10:$I$5000))</f>
        <v>0</v>
      </c>
    </row>
    <row r="25" customFormat="false" ht="18" hidden="false" customHeight="true" outlineLevel="0" collapsed="false">
      <c r="A25" s="55" t="s">
        <v>590</v>
      </c>
      <c r="B25" s="103"/>
      <c r="C25" s="104" t="s">
        <v>591</v>
      </c>
      <c r="D25" s="90" t="n">
        <f aca="false">SUMPRODUCT(('Libro Diario'!$A$10:$A$5000=$B$5)*('Libro Diario'!$E$10:$E$5000=1107404)*(YEAR('Libro Diario'!$C$10:$C$5000)=$D$5)*('Libro Diario'!$H$10:$H$5000))-SUMPRODUCT(('Libro Diario'!$A$10:$A$5000=$B$5)*('Libro Diario'!$E$10:$E$5000=1107404)*(YEAR('Libro Diario'!$C$10:$C$5000)=$D$5)*('Libro Diario'!$I$10:$I$5000))</f>
        <v>0</v>
      </c>
    </row>
    <row r="26" customFormat="false" ht="18" hidden="false" customHeight="true" outlineLevel="0" collapsed="false">
      <c r="A26" s="55" t="s">
        <v>592</v>
      </c>
      <c r="B26" s="103"/>
      <c r="C26" s="104" t="s">
        <v>593</v>
      </c>
      <c r="D26" s="90" t="n">
        <f aca="false">SUMPRODUCT(('Libro Diario'!$A$10:$A$5000=$B$5)*('Libro Diario'!$E$10:$E$5000=1108001)*(YEAR('Libro Diario'!$C$10:$C$5000)=$D$5)*('Libro Diario'!$H$10:$H$5000))-SUMPRODUCT(('Libro Diario'!$A$10:$A$5000=$B$5)*('Libro Diario'!$E$10:$E$5000=1108001)*(YEAR('Libro Diario'!$C$10:$C$5000)=$D$5)*('Libro Diario'!$I$10:$I$5000))</f>
        <v>0</v>
      </c>
    </row>
    <row r="27" customFormat="false" ht="18" hidden="false" customHeight="true" outlineLevel="0" collapsed="false">
      <c r="A27" s="55" t="s">
        <v>594</v>
      </c>
      <c r="B27" s="103"/>
      <c r="C27" s="104" t="s">
        <v>595</v>
      </c>
      <c r="D27" s="90" t="n">
        <f aca="false">SUMPRODUCT(('Libro Diario'!$A$10:$A$5000=$B$5)*('Libro Diario'!$E$10:$E$5000=1108002)*(YEAR('Libro Diario'!$C$10:$C$5000)=$D$5)*('Libro Diario'!$H$10:$H$5000))-SUMPRODUCT(('Libro Diario'!$A$10:$A$5000=$B$5)*('Libro Diario'!$E$10:$E$5000=1108002)*(YEAR('Libro Diario'!$C$10:$C$5000)=$D$5)*('Libro Diario'!$I$10:$I$5000))</f>
        <v>0</v>
      </c>
    </row>
    <row r="28" customFormat="false" ht="18" hidden="false" customHeight="true" outlineLevel="0" collapsed="false">
      <c r="A28" s="55" t="s">
        <v>596</v>
      </c>
      <c r="B28" s="103"/>
      <c r="C28" s="104" t="s">
        <v>597</v>
      </c>
      <c r="D28" s="90" t="n">
        <f aca="false">SUMPRODUCT(('Libro Diario'!$A$10:$A$5000=$B$5)*('Libro Diario'!$E$10:$E$5000=1110001)*(YEAR('Libro Diario'!$C$10:$C$5000)=$D$5)*('Libro Diario'!$H$10:$H$5000))-SUMPRODUCT(('Libro Diario'!$A$10:$A$5000=$B$5)*('Libro Diario'!$E$10:$E$5000=1110001)*(YEAR('Libro Diario'!$C$10:$C$5000)=$D$5)*('Libro Diario'!$I$10:$I$5000))</f>
        <v>0</v>
      </c>
    </row>
    <row r="29" customFormat="false" ht="19.5" hidden="false" customHeight="true" outlineLevel="0" collapsed="false">
      <c r="A29" s="105" t="s">
        <v>598</v>
      </c>
      <c r="B29" s="105"/>
      <c r="C29" s="105"/>
      <c r="D29" s="106" t="n">
        <f aca="false">SUM(D12:D28)</f>
        <v>0</v>
      </c>
    </row>
    <row r="30" customFormat="false" ht="6" hidden="false" customHeight="true" outlineLevel="0" collapsed="false"/>
    <row r="31" customFormat="false" ht="19.5" hidden="false" customHeight="true" outlineLevel="0" collapsed="false">
      <c r="A31" s="107" t="s">
        <v>599</v>
      </c>
      <c r="B31" s="107"/>
      <c r="C31" s="107"/>
      <c r="D31" s="107"/>
    </row>
    <row r="32" customFormat="false" ht="30" hidden="false" customHeight="true" outlineLevel="0" collapsed="false">
      <c r="A32" s="102" t="s">
        <v>600</v>
      </c>
      <c r="B32" s="102"/>
      <c r="C32" s="102"/>
      <c r="D32" s="102"/>
    </row>
    <row r="33" customFormat="false" ht="18" hidden="false" customHeight="true" outlineLevel="0" collapsed="false">
      <c r="A33" s="55" t="s">
        <v>601</v>
      </c>
      <c r="B33" s="103"/>
      <c r="C33" s="104" t="s">
        <v>602</v>
      </c>
      <c r="D33" s="90" t="n">
        <f aca="false">SUMPRODUCT(('Libro Diario'!$A$10:$A$5000=$B$5)*('Libro Diario'!$E$10:$E$5000=1201001)*(YEAR('Libro Diario'!$C$10:$C$5000)=$D$5)*('Libro Diario'!$H$10:$H$5000))-SUMPRODUCT(('Libro Diario'!$A$10:$A$5000=$B$5)*('Libro Diario'!$E$10:$E$5000=1201001)*(YEAR('Libro Diario'!$C$10:$C$5000)=$D$5)*('Libro Diario'!$I$10:$I$5000))</f>
        <v>0</v>
      </c>
    </row>
    <row r="34" customFormat="false" ht="18" hidden="false" customHeight="true" outlineLevel="0" collapsed="false">
      <c r="A34" s="55" t="s">
        <v>603</v>
      </c>
      <c r="B34" s="103"/>
      <c r="C34" s="104" t="s">
        <v>604</v>
      </c>
      <c r="D34" s="90" t="n">
        <f aca="false">SUMPRODUCT(('Libro Diario'!$A$10:$A$5000=$B$5)*('Libro Diario'!$E$10:$E$5000=1201002)*(YEAR('Libro Diario'!$C$10:$C$5000)=$D$5)*('Libro Diario'!$H$10:$H$5000))-SUMPRODUCT(('Libro Diario'!$A$10:$A$5000=$B$5)*('Libro Diario'!$E$10:$E$5000=1201002)*(YEAR('Libro Diario'!$C$10:$C$5000)=$D$5)*('Libro Diario'!$I$10:$I$5000))</f>
        <v>0</v>
      </c>
    </row>
    <row r="35" customFormat="false" ht="18" hidden="false" customHeight="true" outlineLevel="0" collapsed="false">
      <c r="A35" s="55" t="s">
        <v>605</v>
      </c>
      <c r="B35" s="103"/>
      <c r="C35" s="104" t="s">
        <v>606</v>
      </c>
      <c r="D35" s="90" t="n">
        <f aca="false">SUMPRODUCT(('Libro Diario'!$A$10:$A$5000=$B$5)*('Libro Diario'!$E$10:$E$5000=1201003)*(YEAR('Libro Diario'!$C$10:$C$5000)=$D$5)*('Libro Diario'!$H$10:$H$5000))-SUMPRODUCT(('Libro Diario'!$A$10:$A$5000=$B$5)*('Libro Diario'!$E$10:$E$5000=1201003)*(YEAR('Libro Diario'!$C$10:$C$5000)=$D$5)*('Libro Diario'!$I$10:$I$5000))</f>
        <v>0</v>
      </c>
    </row>
    <row r="36" customFormat="false" ht="18" hidden="false" customHeight="true" outlineLevel="0" collapsed="false">
      <c r="A36" s="55" t="s">
        <v>607</v>
      </c>
      <c r="B36" s="103"/>
      <c r="C36" s="104" t="s">
        <v>608</v>
      </c>
      <c r="D36" s="90" t="n">
        <f aca="false">SUMPRODUCT(('Libro Diario'!$A$10:$A$5000=$B$5)*('Libro Diario'!$E$10:$E$5000=1201004)*(YEAR('Libro Diario'!$C$10:$C$5000)=$D$5)*('Libro Diario'!$H$10:$H$5000))-SUMPRODUCT(('Libro Diario'!$A$10:$A$5000=$B$5)*('Libro Diario'!$E$10:$E$5000=1201004)*(YEAR('Libro Diario'!$C$10:$C$5000)=$D$5)*('Libro Diario'!$I$10:$I$5000))</f>
        <v>0</v>
      </c>
    </row>
    <row r="37" customFormat="false" ht="18" hidden="false" customHeight="true" outlineLevel="0" collapsed="false">
      <c r="A37" s="55" t="s">
        <v>609</v>
      </c>
      <c r="B37" s="103"/>
      <c r="C37" s="104" t="s">
        <v>606</v>
      </c>
      <c r="D37" s="90" t="n">
        <f aca="false">SUMPRODUCT(('Libro Diario'!$A$10:$A$5000=$B$5)*('Libro Diario'!$E$10:$E$5000=1201005)*(YEAR('Libro Diario'!$C$10:$C$5000)=$D$5)*('Libro Diario'!$H$10:$H$5000))-SUMPRODUCT(('Libro Diario'!$A$10:$A$5000=$B$5)*('Libro Diario'!$E$10:$E$5000=1201005)*(YEAR('Libro Diario'!$C$10:$C$5000)=$D$5)*('Libro Diario'!$I$10:$I$5000))</f>
        <v>0</v>
      </c>
    </row>
    <row r="38" customFormat="false" ht="18" hidden="false" customHeight="true" outlineLevel="0" collapsed="false">
      <c r="A38" s="55" t="s">
        <v>610</v>
      </c>
      <c r="B38" s="103"/>
      <c r="C38" s="104" t="s">
        <v>611</v>
      </c>
      <c r="D38" s="90" t="n">
        <f aca="false">SUMPRODUCT(('Libro Diario'!$A$10:$A$5000=$B$5)*('Libro Diario'!$E$10:$E$5000=1201006)*(YEAR('Libro Diario'!$C$10:$C$5000)=$D$5)*('Libro Diario'!$H$10:$H$5000))-SUMPRODUCT(('Libro Diario'!$A$10:$A$5000=$B$5)*('Libro Diario'!$E$10:$E$5000=1201006)*(YEAR('Libro Diario'!$C$10:$C$5000)=$D$5)*('Libro Diario'!$I$10:$I$5000))</f>
        <v>0</v>
      </c>
    </row>
    <row r="39" customFormat="false" ht="18" hidden="false" customHeight="true" outlineLevel="0" collapsed="false">
      <c r="A39" s="55" t="s">
        <v>612</v>
      </c>
      <c r="B39" s="103"/>
      <c r="C39" s="104" t="s">
        <v>606</v>
      </c>
      <c r="D39" s="90" t="n">
        <f aca="false">SUMPRODUCT(('Libro Diario'!$A$10:$A$5000=$B$5)*('Libro Diario'!$E$10:$E$5000=1201007)*(YEAR('Libro Diario'!$C$10:$C$5000)=$D$5)*('Libro Diario'!$H$10:$H$5000))-SUMPRODUCT(('Libro Diario'!$A$10:$A$5000=$B$5)*('Libro Diario'!$E$10:$E$5000=1201007)*(YEAR('Libro Diario'!$C$10:$C$5000)=$D$5)*('Libro Diario'!$I$10:$I$5000))</f>
        <v>0</v>
      </c>
    </row>
    <row r="40" customFormat="false" ht="18" hidden="false" customHeight="true" outlineLevel="0" collapsed="false">
      <c r="A40" s="55" t="s">
        <v>613</v>
      </c>
      <c r="B40" s="103"/>
      <c r="C40" s="104" t="s">
        <v>614</v>
      </c>
      <c r="D40" s="90" t="n">
        <f aca="false">SUMPRODUCT(('Libro Diario'!$A$10:$A$5000=$B$5)*('Libro Diario'!$E$10:$E$5000=1201008)*(YEAR('Libro Diario'!$C$10:$C$5000)=$D$5)*('Libro Diario'!$H$10:$H$5000))-SUMPRODUCT(('Libro Diario'!$A$10:$A$5000=$B$5)*('Libro Diario'!$E$10:$E$5000=1201008)*(YEAR('Libro Diario'!$C$10:$C$5000)=$D$5)*('Libro Diario'!$I$10:$I$5000))</f>
        <v>0</v>
      </c>
    </row>
    <row r="41" customFormat="false" ht="18" hidden="false" customHeight="true" outlineLevel="0" collapsed="false">
      <c r="A41" s="55" t="s">
        <v>615</v>
      </c>
      <c r="B41" s="103"/>
      <c r="C41" s="104" t="s">
        <v>616</v>
      </c>
      <c r="D41" s="90" t="n">
        <f aca="false">SUMPRODUCT(('Libro Diario'!$A$10:$A$5000=$B$5)*('Libro Diario'!$E$10:$E$5000=1201010)*(YEAR('Libro Diario'!$C$10:$C$5000)=$D$5)*('Libro Diario'!$H$10:$H$5000))-SUMPRODUCT(('Libro Diario'!$A$10:$A$5000=$B$5)*('Libro Diario'!$E$10:$E$5000=1201010)*(YEAR('Libro Diario'!$C$10:$C$5000)=$D$5)*('Libro Diario'!$I$10:$I$5000))</f>
        <v>0</v>
      </c>
    </row>
    <row r="42" customFormat="false" ht="18" hidden="false" customHeight="true" outlineLevel="0" collapsed="false">
      <c r="A42" s="55" t="s">
        <v>617</v>
      </c>
      <c r="B42" s="103"/>
      <c r="C42" s="104" t="s">
        <v>606</v>
      </c>
      <c r="D42" s="90" t="n">
        <f aca="false">SUMPRODUCT(('Libro Diario'!$A$10:$A$5000=$B$5)*('Libro Diario'!$E$10:$E$5000=1202001)*(YEAR('Libro Diario'!$C$10:$C$5000)=$D$5)*('Libro Diario'!$H$10:$H$5000))-SUMPRODUCT(('Libro Diario'!$A$10:$A$5000=$B$5)*('Libro Diario'!$E$10:$E$5000=1202001)*(YEAR('Libro Diario'!$C$10:$C$5000)=$D$5)*('Libro Diario'!$I$10:$I$5000))</f>
        <v>0</v>
      </c>
    </row>
    <row r="43" customFormat="false" ht="18" hidden="false" customHeight="true" outlineLevel="0" collapsed="false">
      <c r="A43" s="55" t="s">
        <v>618</v>
      </c>
      <c r="B43" s="103"/>
      <c r="C43" s="104" t="s">
        <v>606</v>
      </c>
      <c r="D43" s="90" t="n">
        <f aca="false">SUMPRODUCT(('Libro Diario'!$A$10:$A$5000=$B$5)*('Libro Diario'!$E$10:$E$5000=1202003)*(YEAR('Libro Diario'!$C$10:$C$5000)=$D$5)*('Libro Diario'!$H$10:$H$5000))-SUMPRODUCT(('Libro Diario'!$A$10:$A$5000=$B$5)*('Libro Diario'!$E$10:$E$5000=1202003)*(YEAR('Libro Diario'!$C$10:$C$5000)=$D$5)*('Libro Diario'!$I$10:$I$5000))</f>
        <v>0</v>
      </c>
    </row>
    <row r="44" customFormat="false" ht="18" hidden="false" customHeight="true" outlineLevel="0" collapsed="false">
      <c r="A44" s="55" t="s">
        <v>619</v>
      </c>
      <c r="B44" s="103"/>
      <c r="C44" s="104" t="s">
        <v>606</v>
      </c>
      <c r="D44" s="90" t="n">
        <f aca="false">SUMPRODUCT(('Libro Diario'!$A$10:$A$5000=$B$5)*('Libro Diario'!$E$10:$E$5000=1202004)*(YEAR('Libro Diario'!$C$10:$C$5000)=$D$5)*('Libro Diario'!$H$10:$H$5000))-SUMPRODUCT(('Libro Diario'!$A$10:$A$5000=$B$5)*('Libro Diario'!$E$10:$E$5000=1202004)*(YEAR('Libro Diario'!$C$10:$C$5000)=$D$5)*('Libro Diario'!$I$10:$I$5000))</f>
        <v>0</v>
      </c>
    </row>
    <row r="45" customFormat="false" ht="18" hidden="false" customHeight="true" outlineLevel="0" collapsed="false">
      <c r="A45" s="55" t="s">
        <v>620</v>
      </c>
      <c r="B45" s="103"/>
      <c r="C45" s="104" t="s">
        <v>621</v>
      </c>
      <c r="D45" s="90" t="n">
        <f aca="false">SUMPRODUCT(('Libro Diario'!$A$10:$A$5000=$B$5)*('Libro Diario'!$E$10:$E$5000=1202005)*(YEAR('Libro Diario'!$C$10:$C$5000)=$D$5)*('Libro Diario'!$H$10:$H$5000))-SUMPRODUCT(('Libro Diario'!$A$10:$A$5000=$B$5)*('Libro Diario'!$E$10:$E$5000=1202005)*(YEAR('Libro Diario'!$C$10:$C$5000)=$D$5)*('Libro Diario'!$I$10:$I$5000))</f>
        <v>0</v>
      </c>
    </row>
    <row r="46" customFormat="false" ht="18" hidden="false" customHeight="true" outlineLevel="0" collapsed="false">
      <c r="A46" s="55" t="s">
        <v>622</v>
      </c>
      <c r="B46" s="103"/>
      <c r="C46" s="104" t="s">
        <v>623</v>
      </c>
      <c r="D46" s="90" t="n">
        <f aca="false">SUMPRODUCT(('Libro Diario'!$A$10:$A$5000=$B$5)*('Libro Diario'!$E$10:$E$5000=1202006)*(YEAR('Libro Diario'!$C$10:$C$5000)=$D$5)*('Libro Diario'!$H$10:$H$5000))-SUMPRODUCT(('Libro Diario'!$A$10:$A$5000=$B$5)*('Libro Diario'!$E$10:$E$5000=1202006)*(YEAR('Libro Diario'!$C$10:$C$5000)=$D$5)*('Libro Diario'!$I$10:$I$5000))</f>
        <v>0</v>
      </c>
    </row>
    <row r="47" customFormat="false" ht="18" hidden="false" customHeight="true" outlineLevel="0" collapsed="false">
      <c r="A47" s="55" t="s">
        <v>624</v>
      </c>
      <c r="B47" s="103"/>
      <c r="C47" s="104" t="s">
        <v>625</v>
      </c>
      <c r="D47" s="90" t="n">
        <f aca="false">SUMPRODUCT(('Libro Diario'!$A$10:$A$5000=$B$5)*('Libro Diario'!$E$10:$E$5000=1202007)*(YEAR('Libro Diario'!$C$10:$C$5000)=$D$5)*('Libro Diario'!$H$10:$H$5000))-SUMPRODUCT(('Libro Diario'!$A$10:$A$5000=$B$5)*('Libro Diario'!$E$10:$E$5000=1202007)*(YEAR('Libro Diario'!$C$10:$C$5000)=$D$5)*('Libro Diario'!$I$10:$I$5000))</f>
        <v>0</v>
      </c>
    </row>
    <row r="48" customFormat="false" ht="18" hidden="false" customHeight="true" outlineLevel="0" collapsed="false">
      <c r="A48" s="55" t="s">
        <v>626</v>
      </c>
      <c r="B48" s="103"/>
      <c r="C48" s="104" t="s">
        <v>627</v>
      </c>
      <c r="D48" s="90" t="n">
        <f aca="false">SUMPRODUCT(('Libro Diario'!$A$10:$A$5000=$B$5)*('Libro Diario'!$E$10:$E$5000=1203001)*(YEAR('Libro Diario'!$C$10:$C$5000)=$D$5)*('Libro Diario'!$H$10:$H$5000))-SUMPRODUCT(('Libro Diario'!$A$10:$A$5000=$B$5)*('Libro Diario'!$E$10:$E$5000=1203001)*(YEAR('Libro Diario'!$C$10:$C$5000)=$D$5)*('Libro Diario'!$I$10:$I$5000))</f>
        <v>0</v>
      </c>
    </row>
    <row r="49" customFormat="false" ht="18" hidden="false" customHeight="true" outlineLevel="0" collapsed="false">
      <c r="A49" s="55" t="s">
        <v>628</v>
      </c>
      <c r="B49" s="103"/>
      <c r="C49" s="104" t="s">
        <v>606</v>
      </c>
      <c r="D49" s="90" t="n">
        <f aca="false">SUMPRODUCT(('Libro Diario'!$A$10:$A$5000=$B$5)*('Libro Diario'!$E$10:$E$5000=1203002)*(YEAR('Libro Diario'!$C$10:$C$5000)=$D$5)*('Libro Diario'!$H$10:$H$5000))-SUMPRODUCT(('Libro Diario'!$A$10:$A$5000=$B$5)*('Libro Diario'!$E$10:$E$5000=1203002)*(YEAR('Libro Diario'!$C$10:$C$5000)=$D$5)*('Libro Diario'!$I$10:$I$5000))</f>
        <v>0</v>
      </c>
    </row>
    <row r="50" customFormat="false" ht="18" hidden="false" customHeight="true" outlineLevel="0" collapsed="false">
      <c r="A50" s="55" t="s">
        <v>629</v>
      </c>
      <c r="B50" s="103"/>
      <c r="C50" s="104" t="s">
        <v>630</v>
      </c>
      <c r="D50" s="90" t="n">
        <f aca="false">SUMPRODUCT(('Libro Diario'!$A$10:$A$5000=$B$5)*('Libro Diario'!$E$10:$E$5000=1203003)*(YEAR('Libro Diario'!$C$10:$C$5000)=$D$5)*('Libro Diario'!$H$10:$H$5000))-SUMPRODUCT(('Libro Diario'!$A$10:$A$5000=$B$5)*('Libro Diario'!$E$10:$E$5000=1203003)*(YEAR('Libro Diario'!$C$10:$C$5000)=$D$5)*('Libro Diario'!$I$10:$I$5000))</f>
        <v>0</v>
      </c>
    </row>
    <row r="51" customFormat="false" ht="18" hidden="false" customHeight="true" outlineLevel="0" collapsed="false">
      <c r="A51" s="55" t="s">
        <v>631</v>
      </c>
      <c r="B51" s="103"/>
      <c r="C51" s="104" t="s">
        <v>606</v>
      </c>
      <c r="D51" s="90" t="n">
        <f aca="false">SUMPRODUCT(('Libro Diario'!$A$10:$A$5000=$B$5)*('Libro Diario'!$E$10:$E$5000=1204001)*(YEAR('Libro Diario'!$C$10:$C$5000)=$D$5)*('Libro Diario'!$H$10:$H$5000))-SUMPRODUCT(('Libro Diario'!$A$10:$A$5000=$B$5)*('Libro Diario'!$E$10:$E$5000=1204001)*(YEAR('Libro Diario'!$C$10:$C$5000)=$D$5)*('Libro Diario'!$I$10:$I$5000))</f>
        <v>0</v>
      </c>
    </row>
    <row r="52" customFormat="false" ht="18" hidden="false" customHeight="true" outlineLevel="0" collapsed="false">
      <c r="A52" s="55" t="s">
        <v>632</v>
      </c>
      <c r="B52" s="103"/>
      <c r="C52" s="104" t="s">
        <v>623</v>
      </c>
      <c r="D52" s="90" t="n">
        <f aca="false">SUMPRODUCT(('Libro Diario'!$A$10:$A$5000=$B$5)*('Libro Diario'!$E$10:$E$5000=1204009)*(YEAR('Libro Diario'!$C$10:$C$5000)=$D$5)*('Libro Diario'!$H$10:$H$5000))-SUMPRODUCT(('Libro Diario'!$A$10:$A$5000=$B$5)*('Libro Diario'!$E$10:$E$5000=1204009)*(YEAR('Libro Diario'!$C$10:$C$5000)=$D$5)*('Libro Diario'!$I$10:$I$5000))</f>
        <v>0</v>
      </c>
    </row>
    <row r="53" customFormat="false" ht="18" hidden="false" customHeight="true" outlineLevel="0" collapsed="false">
      <c r="A53" s="55" t="s">
        <v>633</v>
      </c>
      <c r="B53" s="103"/>
      <c r="C53" s="104" t="s">
        <v>634</v>
      </c>
      <c r="D53" s="90" t="n">
        <f aca="false">SUMPRODUCT(('Libro Diario'!$A$10:$A$5000=$B$5)*('Libro Diario'!$E$10:$E$5000=1205001)*(YEAR('Libro Diario'!$C$10:$C$5000)=$D$5)*('Libro Diario'!$H$10:$H$5000))-SUMPRODUCT(('Libro Diario'!$A$10:$A$5000=$B$5)*('Libro Diario'!$E$10:$E$5000=1205001)*(YEAR('Libro Diario'!$C$10:$C$5000)=$D$5)*('Libro Diario'!$I$10:$I$5000))</f>
        <v>0</v>
      </c>
    </row>
    <row r="54" customFormat="false" ht="18" hidden="false" customHeight="true" outlineLevel="0" collapsed="false">
      <c r="A54" s="55" t="s">
        <v>635</v>
      </c>
      <c r="B54" s="103"/>
      <c r="C54" s="104" t="s">
        <v>636</v>
      </c>
      <c r="D54" s="90" t="n">
        <f aca="false">SUMPRODUCT(('Libro Diario'!$A$10:$A$5000=$B$5)*('Libro Diario'!$E$10:$E$5000=1301001)*(YEAR('Libro Diario'!$C$10:$C$5000)=$D$5)*('Libro Diario'!$H$10:$H$5000))-SUMPRODUCT(('Libro Diario'!$A$10:$A$5000=$B$5)*('Libro Diario'!$E$10:$E$5000=1301001)*(YEAR('Libro Diario'!$C$10:$C$5000)=$D$5)*('Libro Diario'!$I$10:$I$5000))</f>
        <v>0</v>
      </c>
    </row>
    <row r="55" customFormat="false" ht="18" hidden="false" customHeight="true" outlineLevel="0" collapsed="false">
      <c r="A55" s="55" t="s">
        <v>637</v>
      </c>
      <c r="B55" s="103"/>
      <c r="C55" s="104" t="s">
        <v>638</v>
      </c>
      <c r="D55" s="90" t="n">
        <f aca="false">SUMPRODUCT(('Libro Diario'!$A$10:$A$5000=$B$5)*('Libro Diario'!$E$10:$E$5000=1303001)*(YEAR('Libro Diario'!$C$10:$C$5000)=$D$5)*('Libro Diario'!$H$10:$H$5000))-SUMPRODUCT(('Libro Diario'!$A$10:$A$5000=$B$5)*('Libro Diario'!$E$10:$E$5000=1303001)*(YEAR('Libro Diario'!$C$10:$C$5000)=$D$5)*('Libro Diario'!$I$10:$I$5000))</f>
        <v>0</v>
      </c>
    </row>
    <row r="56" customFormat="false" ht="19.5" hidden="false" customHeight="true" outlineLevel="0" collapsed="false">
      <c r="A56" s="108" t="s">
        <v>639</v>
      </c>
      <c r="B56" s="108"/>
      <c r="C56" s="108"/>
      <c r="D56" s="109" t="n">
        <f aca="false">SUM(D33:D55)</f>
        <v>0</v>
      </c>
    </row>
    <row r="57" customFormat="false" ht="7.5" hidden="false" customHeight="true" outlineLevel="0" collapsed="false"/>
    <row r="58" customFormat="false" ht="25.5" hidden="false" customHeight="true" outlineLevel="0" collapsed="false">
      <c r="A58" s="110" t="s">
        <v>640</v>
      </c>
      <c r="B58" s="110"/>
      <c r="C58" s="110"/>
      <c r="D58" s="111" t="n">
        <f aca="false">D29+D56</f>
        <v>0</v>
      </c>
    </row>
    <row r="59" customFormat="false" ht="12" hidden="false" customHeight="true" outlineLevel="0" collapsed="false"/>
    <row r="60" customFormat="false" ht="19.5" hidden="false" customHeight="true" outlineLevel="0" collapsed="false">
      <c r="A60" s="112" t="s">
        <v>641</v>
      </c>
      <c r="B60" s="112"/>
      <c r="C60" s="112"/>
      <c r="D60" s="112"/>
    </row>
    <row r="61" customFormat="false" ht="19.5" hidden="false" customHeight="true" outlineLevel="0" collapsed="false">
      <c r="A61" s="113" t="s">
        <v>642</v>
      </c>
      <c r="B61" s="113"/>
      <c r="C61" s="113"/>
      <c r="D61" s="113"/>
    </row>
    <row r="62" customFormat="false" ht="25.5" hidden="false" customHeight="true" outlineLevel="0" collapsed="false">
      <c r="A62" s="102" t="s">
        <v>643</v>
      </c>
      <c r="B62" s="102"/>
      <c r="C62" s="102"/>
      <c r="D62" s="102"/>
    </row>
    <row r="63" customFormat="false" ht="18" hidden="false" customHeight="true" outlineLevel="0" collapsed="false">
      <c r="A63" s="55" t="s">
        <v>644</v>
      </c>
      <c r="B63" s="103"/>
      <c r="C63" s="104" t="s">
        <v>645</v>
      </c>
      <c r="D63" s="90" t="n">
        <f aca="false">SUMPRODUCT(('Libro Diario'!$A$10:$A$5000=$B$5)*('Libro Diario'!$E$10:$E$5000=2102001)*(YEAR('Libro Diario'!$C$10:$C$5000)=$D$5)*('Libro Diario'!$H$10:$H$5000))-SUMPRODUCT(('Libro Diario'!$A$10:$A$5000=$B$5)*('Libro Diario'!$E$10:$E$5000=2102001)*(YEAR('Libro Diario'!$C$10:$C$5000)=$D$5)*('Libro Diario'!$I$10:$I$5000))</f>
        <v>0</v>
      </c>
    </row>
    <row r="64" customFormat="false" ht="18" hidden="false" customHeight="true" outlineLevel="0" collapsed="false">
      <c r="A64" s="55" t="s">
        <v>646</v>
      </c>
      <c r="B64" s="103"/>
      <c r="C64" s="104" t="s">
        <v>647</v>
      </c>
      <c r="D64" s="90" t="n">
        <f aca="false">SUMPRODUCT(('Libro Diario'!$A$10:$A$5000=$B$5)*('Libro Diario'!$E$10:$E$5000=2103001)*(YEAR('Libro Diario'!$C$10:$C$5000)=$D$5)*('Libro Diario'!$H$10:$H$5000))-SUMPRODUCT(('Libro Diario'!$A$10:$A$5000=$B$5)*('Libro Diario'!$E$10:$E$5000=2103001)*(YEAR('Libro Diario'!$C$10:$C$5000)=$D$5)*('Libro Diario'!$I$10:$I$5000))</f>
        <v>0</v>
      </c>
    </row>
    <row r="65" customFormat="false" ht="18" hidden="false" customHeight="true" outlineLevel="0" collapsed="false">
      <c r="A65" s="55" t="s">
        <v>648</v>
      </c>
      <c r="B65" s="103"/>
      <c r="C65" s="104" t="s">
        <v>649</v>
      </c>
      <c r="D65" s="90" t="n">
        <f aca="false">SUMPRODUCT(('Libro Diario'!$A$10:$A$5000=$B$5)*('Libro Diario'!$E$10:$E$5000=2104001)*(YEAR('Libro Diario'!$C$10:$C$5000)=$D$5)*('Libro Diario'!$H$10:$H$5000))-SUMPRODUCT(('Libro Diario'!$A$10:$A$5000=$B$5)*('Libro Diario'!$E$10:$E$5000=2104001)*(YEAR('Libro Diario'!$C$10:$C$5000)=$D$5)*('Libro Diario'!$I$10:$I$5000))</f>
        <v>0</v>
      </c>
    </row>
    <row r="66" customFormat="false" ht="18" hidden="false" customHeight="true" outlineLevel="0" collapsed="false">
      <c r="A66" s="55" t="s">
        <v>650</v>
      </c>
      <c r="B66" s="103"/>
      <c r="C66" s="104" t="s">
        <v>651</v>
      </c>
      <c r="D66" s="90" t="n">
        <f aca="false">SUMPRODUCT(('Libro Diario'!$A$10:$A$5000=$B$5)*('Libro Diario'!$E$10:$E$5000=2105101)*(YEAR('Libro Diario'!$C$10:$C$5000)=$D$5)*('Libro Diario'!$H$10:$H$5000))-SUMPRODUCT(('Libro Diario'!$A$10:$A$5000=$B$5)*('Libro Diario'!$E$10:$E$5000=2105101)*(YEAR('Libro Diario'!$C$10:$C$5000)=$D$5)*('Libro Diario'!$I$10:$I$5000))</f>
        <v>0</v>
      </c>
    </row>
    <row r="67" customFormat="false" ht="18" hidden="false" customHeight="true" outlineLevel="0" collapsed="false">
      <c r="A67" s="55" t="s">
        <v>652</v>
      </c>
      <c r="B67" s="103"/>
      <c r="C67" s="104" t="s">
        <v>653</v>
      </c>
      <c r="D67" s="90" t="n">
        <f aca="false">SUMPRODUCT(('Libro Diario'!$A$10:$A$5000=$B$5)*('Libro Diario'!$E$10:$E$5000=2105102)*(YEAR('Libro Diario'!$C$10:$C$5000)=$D$5)*('Libro Diario'!$H$10:$H$5000))-SUMPRODUCT(('Libro Diario'!$A$10:$A$5000=$B$5)*('Libro Diario'!$E$10:$E$5000=2105102)*(YEAR('Libro Diario'!$C$10:$C$5000)=$D$5)*('Libro Diario'!$I$10:$I$5000))</f>
        <v>0</v>
      </c>
    </row>
    <row r="68" customFormat="false" ht="18" hidden="false" customHeight="true" outlineLevel="0" collapsed="false">
      <c r="A68" s="55" t="s">
        <v>654</v>
      </c>
      <c r="B68" s="103"/>
      <c r="C68" s="104" t="s">
        <v>655</v>
      </c>
      <c r="D68" s="90" t="n">
        <f aca="false">SUMPRODUCT(('Libro Diario'!$A$10:$A$5000=$B$5)*('Libro Diario'!$E$10:$E$5000=2105401)*(YEAR('Libro Diario'!$C$10:$C$5000)=$D$5)*('Libro Diario'!$H$10:$H$5000))-SUMPRODUCT(('Libro Diario'!$A$10:$A$5000=$B$5)*('Libro Diario'!$E$10:$E$5000=2105401)*(YEAR('Libro Diario'!$C$10:$C$5000)=$D$5)*('Libro Diario'!$I$10:$I$5000))</f>
        <v>0</v>
      </c>
    </row>
    <row r="69" customFormat="false" ht="18" hidden="false" customHeight="true" outlineLevel="0" collapsed="false">
      <c r="A69" s="55" t="s">
        <v>656</v>
      </c>
      <c r="B69" s="103"/>
      <c r="C69" s="104" t="s">
        <v>657</v>
      </c>
      <c r="D69" s="90" t="n">
        <f aca="false">SUMPRODUCT(('Libro Diario'!$A$10:$A$5000=$B$5)*('Libro Diario'!$E$10:$E$5000=2105004)*(YEAR('Libro Diario'!$C$10:$C$5000)=$D$5)*('Libro Diario'!$H$10:$H$5000))-SUMPRODUCT(('Libro Diario'!$A$10:$A$5000=$B$5)*('Libro Diario'!$E$10:$E$5000=2105004)*(YEAR('Libro Diario'!$C$10:$C$5000)=$D$5)*('Libro Diario'!$I$10:$I$5000))</f>
        <v>0</v>
      </c>
    </row>
    <row r="70" customFormat="false" ht="18" hidden="false" customHeight="true" outlineLevel="0" collapsed="false">
      <c r="A70" s="55" t="s">
        <v>658</v>
      </c>
      <c r="B70" s="103"/>
      <c r="C70" s="104" t="s">
        <v>659</v>
      </c>
      <c r="D70" s="90" t="n">
        <f aca="false">SUMPRODUCT(('Libro Diario'!$A$10:$A$5000=$B$5)*('Libro Diario'!$E$10:$E$5000=2105005)*(YEAR('Libro Diario'!$C$10:$C$5000)=$D$5)*('Libro Diario'!$H$10:$H$5000))-SUMPRODUCT(('Libro Diario'!$A$10:$A$5000=$B$5)*('Libro Diario'!$E$10:$E$5000=2105005)*(YEAR('Libro Diario'!$C$10:$C$5000)=$D$5)*('Libro Diario'!$I$10:$I$5000))</f>
        <v>0</v>
      </c>
    </row>
    <row r="71" customFormat="false" ht="18" hidden="false" customHeight="true" outlineLevel="0" collapsed="false">
      <c r="A71" s="55" t="s">
        <v>660</v>
      </c>
      <c r="B71" s="103"/>
      <c r="C71" s="104" t="s">
        <v>661</v>
      </c>
      <c r="D71" s="90" t="n">
        <f aca="false">SUMPRODUCT(('Libro Diario'!$A$10:$A$5000=$B$5)*('Libro Diario'!$E$10:$E$5000=2105006)*(YEAR('Libro Diario'!$C$10:$C$5000)=$D$5)*('Libro Diario'!$H$10:$H$5000))-SUMPRODUCT(('Libro Diario'!$A$10:$A$5000=$B$5)*('Libro Diario'!$E$10:$E$5000=2105006)*(YEAR('Libro Diario'!$C$10:$C$5000)=$D$5)*('Libro Diario'!$I$10:$I$5000))</f>
        <v>0</v>
      </c>
    </row>
    <row r="72" customFormat="false" ht="18" hidden="false" customHeight="true" outlineLevel="0" collapsed="false">
      <c r="A72" s="55" t="s">
        <v>662</v>
      </c>
      <c r="B72" s="103"/>
      <c r="C72" s="104" t="s">
        <v>663</v>
      </c>
      <c r="D72" s="90" t="n">
        <f aca="false">SUMPRODUCT(('Libro Diario'!$A$10:$A$5000=$B$5)*('Libro Diario'!$E$10:$E$5000=2105201)*(YEAR('Libro Diario'!$C$10:$C$5000)=$D$5)*('Libro Diario'!$H$10:$H$5000))-SUMPRODUCT(('Libro Diario'!$A$10:$A$5000=$B$5)*('Libro Diario'!$E$10:$E$5000=2105201)*(YEAR('Libro Diario'!$C$10:$C$5000)=$D$5)*('Libro Diario'!$I$10:$I$5000))</f>
        <v>0</v>
      </c>
    </row>
    <row r="73" customFormat="false" ht="18" hidden="false" customHeight="true" outlineLevel="0" collapsed="false">
      <c r="A73" s="55" t="s">
        <v>664</v>
      </c>
      <c r="B73" s="103"/>
      <c r="C73" s="104" t="s">
        <v>665</v>
      </c>
      <c r="D73" s="90" t="n">
        <f aca="false">SUMPRODUCT(('Libro Diario'!$A$10:$A$5000=$B$5)*('Libro Diario'!$E$10:$E$5000=2106001)*(YEAR('Libro Diario'!$C$10:$C$5000)=$D$5)*('Libro Diario'!$H$10:$H$5000))-SUMPRODUCT(('Libro Diario'!$A$10:$A$5000=$B$5)*('Libro Diario'!$E$10:$E$5000=2106001)*(YEAR('Libro Diario'!$C$10:$C$5000)=$D$5)*('Libro Diario'!$I$10:$I$5000))</f>
        <v>0</v>
      </c>
    </row>
    <row r="74" customFormat="false" ht="18" hidden="false" customHeight="true" outlineLevel="0" collapsed="false">
      <c r="A74" s="55" t="s">
        <v>666</v>
      </c>
      <c r="B74" s="103"/>
      <c r="C74" s="104" t="s">
        <v>667</v>
      </c>
      <c r="D74" s="90" t="n">
        <f aca="false">SUMPRODUCT(('Libro Diario'!$A$10:$A$5000=$B$5)*('Libro Diario'!$E$10:$E$5000=2106002)*(YEAR('Libro Diario'!$C$10:$C$5000)=$D$5)*('Libro Diario'!$H$10:$H$5000))-SUMPRODUCT(('Libro Diario'!$A$10:$A$5000=$B$5)*('Libro Diario'!$E$10:$E$5000=2106002)*(YEAR('Libro Diario'!$C$10:$C$5000)=$D$5)*('Libro Diario'!$I$10:$I$5000))</f>
        <v>0</v>
      </c>
    </row>
    <row r="75" customFormat="false" ht="18" hidden="false" customHeight="true" outlineLevel="0" collapsed="false">
      <c r="A75" s="55" t="s">
        <v>668</v>
      </c>
      <c r="B75" s="103"/>
      <c r="C75" s="104" t="s">
        <v>669</v>
      </c>
      <c r="D75" s="90" t="n">
        <f aca="false">SUMPRODUCT(('Libro Diario'!$A$10:$A$5000=$B$5)*('Libro Diario'!$E$10:$E$5000=2107001)*(YEAR('Libro Diario'!$C$10:$C$5000)=$D$5)*('Libro Diario'!$H$10:$H$5000))-SUMPRODUCT(('Libro Diario'!$A$10:$A$5000=$B$5)*('Libro Diario'!$E$10:$E$5000=2107001)*(YEAR('Libro Diario'!$C$10:$C$5000)=$D$5)*('Libro Diario'!$I$10:$I$5000))</f>
        <v>0</v>
      </c>
    </row>
    <row r="76" customFormat="false" ht="18" hidden="false" customHeight="true" outlineLevel="0" collapsed="false">
      <c r="A76" s="55" t="s">
        <v>670</v>
      </c>
      <c r="B76" s="103"/>
      <c r="C76" s="104" t="s">
        <v>574</v>
      </c>
      <c r="D76" s="90" t="n">
        <f aca="false">SUMPRODUCT(('Libro Diario'!$A$10:$A$5000=$B$5)*('Libro Diario'!$E$10:$E$5000=2108001)*(YEAR('Libro Diario'!$C$10:$C$5000)=$D$5)*('Libro Diario'!$H$10:$H$5000))-SUMPRODUCT(('Libro Diario'!$A$10:$A$5000=$B$5)*('Libro Diario'!$E$10:$E$5000=2108001)*(YEAR('Libro Diario'!$C$10:$C$5000)=$D$5)*('Libro Diario'!$I$10:$I$5000))</f>
        <v>0</v>
      </c>
    </row>
    <row r="77" customFormat="false" ht="18" hidden="false" customHeight="true" outlineLevel="0" collapsed="false">
      <c r="A77" s="55" t="s">
        <v>671</v>
      </c>
      <c r="B77" s="103"/>
      <c r="C77" s="104" t="s">
        <v>672</v>
      </c>
      <c r="D77" s="90" t="n">
        <f aca="false">SUMPRODUCT(('Libro Diario'!$A$10:$A$5000=$B$5)*('Libro Diario'!$E$10:$E$5000=2108003)*(YEAR('Libro Diario'!$C$10:$C$5000)=$D$5)*('Libro Diario'!$H$10:$H$5000))-SUMPRODUCT(('Libro Diario'!$A$10:$A$5000=$B$5)*('Libro Diario'!$E$10:$E$5000=2108003)*(YEAR('Libro Diario'!$C$10:$C$5000)=$D$5)*('Libro Diario'!$I$10:$I$5000))</f>
        <v>0</v>
      </c>
    </row>
    <row r="78" customFormat="false" ht="19.5" hidden="false" customHeight="true" outlineLevel="0" collapsed="false">
      <c r="A78" s="114" t="s">
        <v>673</v>
      </c>
      <c r="B78" s="114"/>
      <c r="C78" s="114"/>
      <c r="D78" s="115" t="n">
        <f aca="false">SUM(D63:D77)</f>
        <v>0</v>
      </c>
    </row>
    <row r="79" customFormat="false" ht="6" hidden="false" customHeight="true" outlineLevel="0" collapsed="false"/>
    <row r="80" customFormat="false" ht="19.5" hidden="false" customHeight="true" outlineLevel="0" collapsed="false">
      <c r="A80" s="116" t="s">
        <v>674</v>
      </c>
      <c r="B80" s="116"/>
      <c r="C80" s="116"/>
      <c r="D80" s="116"/>
    </row>
    <row r="81" customFormat="false" ht="25.5" hidden="false" customHeight="true" outlineLevel="0" collapsed="false">
      <c r="A81" s="102" t="s">
        <v>675</v>
      </c>
      <c r="B81" s="102"/>
      <c r="C81" s="102"/>
      <c r="D81" s="102"/>
    </row>
    <row r="82" customFormat="false" ht="18" hidden="false" customHeight="true" outlineLevel="0" collapsed="false">
      <c r="A82" s="55" t="s">
        <v>676</v>
      </c>
      <c r="B82" s="103"/>
      <c r="C82" s="104" t="s">
        <v>677</v>
      </c>
      <c r="D82" s="90" t="n">
        <f aca="false">SUMPRODUCT(('Libro Diario'!$A$10:$A$5000=$B$5)*('Libro Diario'!$E$10:$E$5000=2201001)*(YEAR('Libro Diario'!$C$10:$C$5000)=$D$5)*('Libro Diario'!$H$10:$H$5000))-SUMPRODUCT(('Libro Diario'!$A$10:$A$5000=$B$5)*('Libro Diario'!$E$10:$E$5000=2201001)*(YEAR('Libro Diario'!$C$10:$C$5000)=$D$5)*('Libro Diario'!$I$10:$I$5000))</f>
        <v>0</v>
      </c>
    </row>
    <row r="83" customFormat="false" ht="18" hidden="false" customHeight="true" outlineLevel="0" collapsed="false">
      <c r="A83" s="55" t="s">
        <v>678</v>
      </c>
      <c r="B83" s="103"/>
      <c r="C83" s="104" t="s">
        <v>679</v>
      </c>
      <c r="D83" s="90" t="n">
        <f aca="false">SUMPRODUCT(('Libro Diario'!$A$10:$A$5000=$B$5)*('Libro Diario'!$E$10:$E$5000=2201002)*(YEAR('Libro Diario'!$C$10:$C$5000)=$D$5)*('Libro Diario'!$H$10:$H$5000))-SUMPRODUCT(('Libro Diario'!$A$10:$A$5000=$B$5)*('Libro Diario'!$E$10:$E$5000=2201002)*(YEAR('Libro Diario'!$C$10:$C$5000)=$D$5)*('Libro Diario'!$I$10:$I$5000))</f>
        <v>0</v>
      </c>
    </row>
    <row r="84" customFormat="false" ht="19.5" hidden="false" customHeight="true" outlineLevel="0" collapsed="false">
      <c r="A84" s="117" t="s">
        <v>680</v>
      </c>
      <c r="B84" s="117"/>
      <c r="C84" s="117"/>
      <c r="D84" s="118" t="n">
        <f aca="false">SUM(D82:D83)</f>
        <v>0</v>
      </c>
    </row>
    <row r="85" customFormat="false" ht="7.5" hidden="false" customHeight="true" outlineLevel="0" collapsed="false"/>
    <row r="86" customFormat="false" ht="25.5" hidden="false" customHeight="true" outlineLevel="0" collapsed="false">
      <c r="A86" s="119" t="s">
        <v>681</v>
      </c>
      <c r="B86" s="119"/>
      <c r="C86" s="119"/>
      <c r="D86" s="120" t="n">
        <f aca="false">D78+D84</f>
        <v>0</v>
      </c>
    </row>
    <row r="87" customFormat="false" ht="12" hidden="false" customHeight="true" outlineLevel="0" collapsed="false"/>
    <row r="88" customFormat="false" ht="19.5" hidden="false" customHeight="true" outlineLevel="0" collapsed="false">
      <c r="A88" s="121" t="s">
        <v>682</v>
      </c>
      <c r="B88" s="121"/>
      <c r="C88" s="121"/>
      <c r="D88" s="121"/>
    </row>
    <row r="89" customFormat="false" ht="30" hidden="false" customHeight="true" outlineLevel="0" collapsed="false">
      <c r="A89" s="102" t="s">
        <v>683</v>
      </c>
      <c r="B89" s="102"/>
      <c r="C89" s="102"/>
      <c r="D89" s="102"/>
    </row>
    <row r="90" customFormat="false" ht="18" hidden="false" customHeight="true" outlineLevel="0" collapsed="false">
      <c r="A90" s="55" t="s">
        <v>684</v>
      </c>
      <c r="B90" s="103"/>
      <c r="C90" s="104" t="s">
        <v>685</v>
      </c>
      <c r="D90" s="90" t="n">
        <f aca="false">SUMPRODUCT(('Libro Diario'!$A$10:$A$5000=$B$5)*('Libro Diario'!$E$10:$E$5000=2301001)*(YEAR('Libro Diario'!$C$10:$C$5000)=$D$5)*('Libro Diario'!$H$10:$H$5000))-SUMPRODUCT(('Libro Diario'!$A$10:$A$5000=$B$5)*('Libro Diario'!$E$10:$E$5000=2301001)*(YEAR('Libro Diario'!$C$10:$C$5000)=$D$5)*('Libro Diario'!$I$10:$I$5000))</f>
        <v>0</v>
      </c>
    </row>
    <row r="91" customFormat="false" ht="18" hidden="false" customHeight="true" outlineLevel="0" collapsed="false">
      <c r="A91" s="55" t="s">
        <v>686</v>
      </c>
      <c r="B91" s="103"/>
      <c r="C91" s="104" t="s">
        <v>687</v>
      </c>
      <c r="D91" s="90" t="n">
        <f aca="false">SUMPRODUCT(('Libro Diario'!$A$10:$A$5000=$B$5)*('Libro Diario'!$E$10:$E$5000=2302001)*(YEAR('Libro Diario'!$C$10:$C$5000)=$D$5)*('Libro Diario'!$H$10:$H$5000))-SUMPRODUCT(('Libro Diario'!$A$10:$A$5000=$B$5)*('Libro Diario'!$E$10:$E$5000=2302001)*(YEAR('Libro Diario'!$C$10:$C$5000)=$D$5)*('Libro Diario'!$I$10:$I$5000))</f>
        <v>0</v>
      </c>
    </row>
    <row r="92" customFormat="false" ht="18" hidden="false" customHeight="true" outlineLevel="0" collapsed="false">
      <c r="A92" s="55" t="s">
        <v>688</v>
      </c>
      <c r="B92" s="103"/>
      <c r="C92" s="104" t="s">
        <v>689</v>
      </c>
      <c r="D92" s="90" t="n">
        <f aca="false">SUMPRODUCT(('Libro Diario'!$A$10:$A$5000=$B$5)*('Libro Diario'!$E$10:$E$5000=2302101)*(YEAR('Libro Diario'!$C$10:$C$5000)=$D$5)*('Libro Diario'!$H$10:$H$5000))-SUMPRODUCT(('Libro Diario'!$A$10:$A$5000=$B$5)*('Libro Diario'!$E$10:$E$5000=2302101)*(YEAR('Libro Diario'!$C$10:$C$5000)=$D$5)*('Libro Diario'!$I$10:$I$5000))</f>
        <v>0</v>
      </c>
    </row>
    <row r="93" customFormat="false" ht="19.5" hidden="false" customHeight="true" outlineLevel="0" collapsed="false">
      <c r="A93" s="122" t="s">
        <v>690</v>
      </c>
      <c r="B93" s="123"/>
      <c r="C93" s="124" t="s">
        <v>691</v>
      </c>
      <c r="D93" s="125" t="n">
        <f aca="false">IFERROR(INDEX('Estado Resultados'!$D:$D,MATCH("Resultado Neto del Ejercicio",'Estado Resultados'!$A:$A,0)),0)</f>
        <v>0</v>
      </c>
    </row>
    <row r="94" customFormat="false" ht="19.5" hidden="false" customHeight="true" outlineLevel="0" collapsed="false">
      <c r="A94" s="126" t="s">
        <v>692</v>
      </c>
      <c r="B94" s="126"/>
      <c r="C94" s="126"/>
      <c r="D94" s="125" t="n">
        <f aca="false">SUM(D90:D93)</f>
        <v>0</v>
      </c>
    </row>
    <row r="95" customFormat="false" ht="12" hidden="false" customHeight="true" outlineLevel="0" collapsed="false"/>
    <row r="96" customFormat="false" ht="25.5" hidden="false" customHeight="true" outlineLevel="0" collapsed="false">
      <c r="A96" s="127" t="s">
        <v>693</v>
      </c>
      <c r="B96" s="127"/>
      <c r="C96" s="127"/>
      <c r="D96" s="128" t="n">
        <f aca="false">D86+D94</f>
        <v>0</v>
      </c>
    </row>
    <row r="97" customFormat="false" ht="9.75" hidden="false" customHeight="true" outlineLevel="0" collapsed="false"/>
    <row r="98" customFormat="false" ht="25.5" hidden="false" customHeight="true" outlineLevel="0" collapsed="false">
      <c r="A98" s="129" t="s">
        <v>694</v>
      </c>
      <c r="B98" s="129"/>
      <c r="C98" s="129"/>
      <c r="D98" s="130" t="str">
        <f aca="false">IF(ABS(D58-D96)&lt;1,"✓  BALANCE CUADRADO","✗  DIFERENCIA: $"&amp;TEXT(ABS(D58-D96),"#,##0"))</f>
        <v>✓  BALANCE CUADRADO</v>
      </c>
    </row>
    <row r="99" customFormat="false" ht="9.75" hidden="false" customHeight="true" outlineLevel="0" collapsed="false"/>
    <row r="100" customFormat="false" ht="51.75" hidden="false" customHeight="true" outlineLevel="0" collapsed="false">
      <c r="A100" s="102" t="s">
        <v>695</v>
      </c>
      <c r="B100" s="102"/>
      <c r="C100" s="102"/>
      <c r="D100" s="102"/>
    </row>
  </sheetData>
  <mergeCells count="26">
    <mergeCell ref="A1:D1"/>
    <mergeCell ref="A3:D3"/>
    <mergeCell ref="A7:D7"/>
    <mergeCell ref="A8:C8"/>
    <mergeCell ref="A9:D9"/>
    <mergeCell ref="A10:D10"/>
    <mergeCell ref="A11:D11"/>
    <mergeCell ref="A29:C29"/>
    <mergeCell ref="A31:D31"/>
    <mergeCell ref="A32:D32"/>
    <mergeCell ref="A56:C56"/>
    <mergeCell ref="A58:C58"/>
    <mergeCell ref="A60:D60"/>
    <mergeCell ref="A61:D61"/>
    <mergeCell ref="A62:D62"/>
    <mergeCell ref="A78:C78"/>
    <mergeCell ref="A80:D80"/>
    <mergeCell ref="A81:D81"/>
    <mergeCell ref="A84:C84"/>
    <mergeCell ref="A86:C86"/>
    <mergeCell ref="A88:D88"/>
    <mergeCell ref="A89:D89"/>
    <mergeCell ref="A94:C94"/>
    <mergeCell ref="A96:C96"/>
    <mergeCell ref="A98:C98"/>
    <mergeCell ref="A100:D100"/>
  </mergeCells>
  <dataValidations count="1">
    <dataValidation allowBlank="true" errorStyle="stop" operator="between" showDropDown="false" showErrorMessage="fals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8"/>
    <col collapsed="false" customWidth="true" hidden="false" outlineLevel="0" max="3" min="3" style="1" width="32"/>
    <col collapsed="false" customWidth="true" hidden="false" outlineLevel="0" max="4" min="4" style="1" width="16"/>
  </cols>
  <sheetData>
    <row r="1" customFormat="false" ht="39.75" hidden="false" customHeight="true" outlineLevel="0" collapsed="false">
      <c r="A1" s="131" t="s">
        <v>696</v>
      </c>
      <c r="B1" s="131"/>
      <c r="C1" s="131"/>
      <c r="D1" s="131"/>
    </row>
    <row r="2" customFormat="false" ht="6" hidden="false" customHeight="true" outlineLevel="0" collapsed="false"/>
    <row r="3" customFormat="false" ht="54" hidden="false" customHeight="true" outlineLevel="0" collapsed="false">
      <c r="A3" s="132" t="s">
        <v>697</v>
      </c>
      <c r="B3" s="132"/>
      <c r="C3" s="132"/>
      <c r="D3" s="132"/>
    </row>
    <row r="4" customFormat="false" ht="7.5" hidden="false" customHeight="true" outlineLevel="0" collapsed="false"/>
    <row r="5" customFormat="false" ht="25.5" hidden="false" customHeight="true" outlineLevel="0" collapsed="false">
      <c r="A5" s="56" t="s">
        <v>418</v>
      </c>
      <c r="B5" s="85" t="s">
        <v>398</v>
      </c>
      <c r="C5" s="56" t="s">
        <v>548</v>
      </c>
      <c r="D5" s="86" t="n">
        <v>2025</v>
      </c>
    </row>
    <row r="6" customFormat="false" ht="7.5" hidden="false" customHeight="true" outlineLevel="0" collapsed="false"/>
    <row r="7" customFormat="false" ht="24" hidden="false" customHeight="true" outlineLevel="0" collapsed="false">
      <c r="A7" s="133" t="str">
        <f aca="false">IFERROR(INDEX(Clientes!$C$4:$C$200,MATCH(B5,Clientes!$A$4:$A$200,0)),"[Seleccione un cliente]")&amp;"  —  Estado de Resultados Enero a Diciembre "&amp;TEXT(D5,"0")</f>
        <v>← Ingrese aquí su primer cliente  —  Estado de Resultados Enero a Diciembre 2025</v>
      </c>
      <c r="B7" s="133"/>
      <c r="C7" s="133"/>
      <c r="D7" s="133"/>
    </row>
    <row r="8" customFormat="false" ht="19.5" hidden="false" customHeight="true" outlineLevel="0" collapsed="false">
      <c r="A8" s="99" t="s">
        <v>698</v>
      </c>
      <c r="B8" s="99"/>
      <c r="C8" s="99"/>
      <c r="D8" s="99" t="s">
        <v>561</v>
      </c>
    </row>
    <row r="9" customFormat="false" ht="21.75" hidden="false" customHeight="true" outlineLevel="0" collapsed="false">
      <c r="A9" s="121" t="s">
        <v>699</v>
      </c>
      <c r="B9" s="121"/>
      <c r="C9" s="121"/>
      <c r="D9" s="121"/>
    </row>
    <row r="10" customFormat="false" ht="30" hidden="false" customHeight="true" outlineLevel="0" collapsed="false">
      <c r="A10" s="102" t="s">
        <v>700</v>
      </c>
      <c r="B10" s="102"/>
      <c r="C10" s="102"/>
      <c r="D10" s="102"/>
    </row>
    <row r="11" customFormat="false" ht="18" hidden="false" customHeight="true" outlineLevel="0" collapsed="false">
      <c r="A11" s="134" t="s">
        <v>701</v>
      </c>
      <c r="B11" s="135"/>
      <c r="C11" s="136" t="s">
        <v>702</v>
      </c>
      <c r="D11" s="137" t="n">
        <f aca="false">SUMPRODUCT(('Libro Diario'!$A$10:$A$5000=$B$5)*('Libro Diario'!$E$10:$E$5000=4101001)*(YEAR('Libro Diario'!$C$10:$C$5000)=$D$5)*('Libro Diario'!$I$10:$I$5000))-SUMPRODUCT(('Libro Diario'!$A$10:$A$5000=$B$5)*('Libro Diario'!$E$10:$E$5000=4101001)*(YEAR('Libro Diario'!$C$10:$C$5000)=$D$5)*('Libro Diario'!$H$10:$H$5000))</f>
        <v>0</v>
      </c>
    </row>
    <row r="12" customFormat="false" ht="18" hidden="false" customHeight="true" outlineLevel="0" collapsed="false">
      <c r="A12" s="134" t="s">
        <v>703</v>
      </c>
      <c r="B12" s="135"/>
      <c r="C12" s="136" t="s">
        <v>704</v>
      </c>
      <c r="D12" s="137" t="n">
        <f aca="false">SUMPRODUCT(('Libro Diario'!$A$10:$A$5000=$B$5)*('Libro Diario'!$E$10:$E$5000=4101002)*(YEAR('Libro Diario'!$C$10:$C$5000)=$D$5)*('Libro Diario'!$I$10:$I$5000))-SUMPRODUCT(('Libro Diario'!$A$10:$A$5000=$B$5)*('Libro Diario'!$E$10:$E$5000=4101002)*(YEAR('Libro Diario'!$C$10:$C$5000)=$D$5)*('Libro Diario'!$H$10:$H$5000))</f>
        <v>0</v>
      </c>
    </row>
    <row r="13" customFormat="false" ht="18" hidden="false" customHeight="true" outlineLevel="0" collapsed="false">
      <c r="A13" s="134" t="s">
        <v>705</v>
      </c>
      <c r="B13" s="135"/>
      <c r="C13" s="136" t="s">
        <v>706</v>
      </c>
      <c r="D13" s="137" t="n">
        <f aca="false">SUMPRODUCT(('Libro Diario'!$A$10:$A$5000=$B$5)*('Libro Diario'!$E$10:$E$5000=4101003)*(YEAR('Libro Diario'!$C$10:$C$5000)=$D$5)*('Libro Diario'!$I$10:$I$5000))-SUMPRODUCT(('Libro Diario'!$A$10:$A$5000=$B$5)*('Libro Diario'!$E$10:$E$5000=4101003)*(YEAR('Libro Diario'!$C$10:$C$5000)=$D$5)*('Libro Diario'!$H$10:$H$5000))</f>
        <v>0</v>
      </c>
    </row>
    <row r="14" customFormat="false" ht="18" hidden="false" customHeight="true" outlineLevel="0" collapsed="false">
      <c r="A14" s="134" t="s">
        <v>707</v>
      </c>
      <c r="B14" s="135"/>
      <c r="C14" s="136" t="s">
        <v>708</v>
      </c>
      <c r="D14" s="137" t="n">
        <f aca="false">SUMPRODUCT(('Libro Diario'!$A$10:$A$5000=$B$5)*('Libro Diario'!$E$10:$E$5000=4201001)*(YEAR('Libro Diario'!$C$10:$C$5000)=$D$5)*('Libro Diario'!$I$10:$I$5000))-SUMPRODUCT(('Libro Diario'!$A$10:$A$5000=$B$5)*('Libro Diario'!$E$10:$E$5000=4201001)*(YEAR('Libro Diario'!$C$10:$C$5000)=$D$5)*('Libro Diario'!$H$10:$H$5000))</f>
        <v>0</v>
      </c>
    </row>
    <row r="15" customFormat="false" ht="18" hidden="false" customHeight="true" outlineLevel="0" collapsed="false">
      <c r="A15" s="134" t="s">
        <v>709</v>
      </c>
      <c r="B15" s="135"/>
      <c r="C15" s="136" t="s">
        <v>710</v>
      </c>
      <c r="D15" s="137" t="n">
        <f aca="false">SUMPRODUCT(('Libro Diario'!$A$10:$A$5000=$B$5)*('Libro Diario'!$E$10:$E$5000=4201101)*(YEAR('Libro Diario'!$C$10:$C$5000)=$D$5)*('Libro Diario'!$I$10:$I$5000))-SUMPRODUCT(('Libro Diario'!$A$10:$A$5000=$B$5)*('Libro Diario'!$E$10:$E$5000=4201101)*(YEAR('Libro Diario'!$C$10:$C$5000)=$D$5)*('Libro Diario'!$H$10:$H$5000))</f>
        <v>0</v>
      </c>
    </row>
    <row r="16" customFormat="false" ht="18" hidden="false" customHeight="true" outlineLevel="0" collapsed="false">
      <c r="A16" s="134" t="s">
        <v>711</v>
      </c>
      <c r="B16" s="135"/>
      <c r="C16" s="136" t="s">
        <v>712</v>
      </c>
      <c r="D16" s="137" t="n">
        <f aca="false">SUMPRODUCT(('Libro Diario'!$A$10:$A$5000=$B$5)*('Libro Diario'!$E$10:$E$5000=4201102)*(YEAR('Libro Diario'!$C$10:$C$5000)=$D$5)*('Libro Diario'!$I$10:$I$5000))-SUMPRODUCT(('Libro Diario'!$A$10:$A$5000=$B$5)*('Libro Diario'!$E$10:$E$5000=4201102)*(YEAR('Libro Diario'!$C$10:$C$5000)=$D$5)*('Libro Diario'!$H$10:$H$5000))</f>
        <v>0</v>
      </c>
    </row>
    <row r="17" customFormat="false" ht="24" hidden="false" customHeight="true" outlineLevel="0" collapsed="false">
      <c r="A17" s="138" t="s">
        <v>713</v>
      </c>
      <c r="B17" s="138"/>
      <c r="C17" s="138"/>
      <c r="D17" s="139" t="n">
        <f aca="false">SUM(D11:D16)</f>
        <v>0</v>
      </c>
    </row>
    <row r="18" customFormat="false" ht="7.5" hidden="false" customHeight="true" outlineLevel="0" collapsed="false"/>
    <row r="19" customFormat="false" ht="21.75" hidden="false" customHeight="true" outlineLevel="0" collapsed="false">
      <c r="A19" s="140" t="s">
        <v>714</v>
      </c>
      <c r="B19" s="140"/>
      <c r="C19" s="140"/>
      <c r="D19" s="140"/>
    </row>
    <row r="20" customFormat="false" ht="30" hidden="false" customHeight="true" outlineLevel="0" collapsed="false">
      <c r="A20" s="102" t="s">
        <v>715</v>
      </c>
      <c r="B20" s="102"/>
      <c r="C20" s="102"/>
      <c r="D20" s="102"/>
    </row>
    <row r="21" customFormat="false" ht="18" hidden="false" customHeight="true" outlineLevel="0" collapsed="false">
      <c r="A21" s="141" t="s">
        <v>716</v>
      </c>
      <c r="B21" s="142"/>
      <c r="C21" s="143" t="s">
        <v>717</v>
      </c>
      <c r="D21" s="144" t="n">
        <f aca="false">SUMPRODUCT(('Libro Diario'!$A$10:$A$5000=$B$5)*('Libro Diario'!$E$10:$E$5000=3101001)*(YEAR('Libro Diario'!$C$10:$C$5000)=$D$5)*('Libro Diario'!$H$10:$H$5000))-SUMPRODUCT(('Libro Diario'!$A$10:$A$5000=$B$5)*('Libro Diario'!$E$10:$E$5000=3101001)*(YEAR('Libro Diario'!$C$10:$C$5000)=$D$5)*('Libro Diario'!$I$10:$I$5000))</f>
        <v>0</v>
      </c>
    </row>
    <row r="22" customFormat="false" ht="18" hidden="false" customHeight="true" outlineLevel="0" collapsed="false">
      <c r="A22" s="141" t="s">
        <v>718</v>
      </c>
      <c r="B22" s="142"/>
      <c r="C22" s="143" t="s">
        <v>719</v>
      </c>
      <c r="D22" s="144" t="n">
        <f aca="false">SUMPRODUCT(('Libro Diario'!$A$10:$A$5000=$B$5)*('Libro Diario'!$E$10:$E$5000=3101002)*(YEAR('Libro Diario'!$C$10:$C$5000)=$D$5)*('Libro Diario'!$H$10:$H$5000))-SUMPRODUCT(('Libro Diario'!$A$10:$A$5000=$B$5)*('Libro Diario'!$E$10:$E$5000=3101002)*(YEAR('Libro Diario'!$C$10:$C$5000)=$D$5)*('Libro Diario'!$I$10:$I$5000))</f>
        <v>0</v>
      </c>
    </row>
    <row r="23" customFormat="false" ht="18" hidden="false" customHeight="true" outlineLevel="0" collapsed="false">
      <c r="A23" s="141" t="s">
        <v>720</v>
      </c>
      <c r="B23" s="142"/>
      <c r="C23" s="143" t="s">
        <v>721</v>
      </c>
      <c r="D23" s="144" t="n">
        <f aca="false">SUMPRODUCT(('Libro Diario'!$A$10:$A$5000=$B$5)*('Libro Diario'!$E$10:$E$5000=3101003)*(YEAR('Libro Diario'!$C$10:$C$5000)=$D$5)*('Libro Diario'!$H$10:$H$5000))-SUMPRODUCT(('Libro Diario'!$A$10:$A$5000=$B$5)*('Libro Diario'!$E$10:$E$5000=3101003)*(YEAR('Libro Diario'!$C$10:$C$5000)=$D$5)*('Libro Diario'!$I$10:$I$5000))</f>
        <v>0</v>
      </c>
    </row>
    <row r="24" customFormat="false" ht="24" hidden="false" customHeight="true" outlineLevel="0" collapsed="false">
      <c r="A24" s="145" t="s">
        <v>722</v>
      </c>
      <c r="B24" s="145"/>
      <c r="C24" s="145"/>
      <c r="D24" s="146" t="n">
        <f aca="false">SUM(D21:D23)</f>
        <v>0</v>
      </c>
    </row>
    <row r="25" customFormat="false" ht="7.5" hidden="false" customHeight="true" outlineLevel="0" collapsed="false"/>
    <row r="26" customFormat="false" ht="27.75" hidden="false" customHeight="true" outlineLevel="0" collapsed="false">
      <c r="A26" s="110" t="s">
        <v>723</v>
      </c>
      <c r="B26" s="110"/>
      <c r="C26" s="110"/>
      <c r="D26" s="111" t="n">
        <f aca="false">D17-D24</f>
        <v>0</v>
      </c>
    </row>
    <row r="27" customFormat="false" ht="27.75" hidden="false" customHeight="true" outlineLevel="0" collapsed="false">
      <c r="A27" s="102" t="s">
        <v>724</v>
      </c>
      <c r="B27" s="102"/>
      <c r="C27" s="102"/>
      <c r="D27" s="102"/>
    </row>
    <row r="28" customFormat="false" ht="7.5" hidden="false" customHeight="true" outlineLevel="0" collapsed="false"/>
    <row r="29" customFormat="false" ht="21.75" hidden="false" customHeight="true" outlineLevel="0" collapsed="false">
      <c r="A29" s="147" t="s">
        <v>725</v>
      </c>
      <c r="B29" s="147"/>
      <c r="C29" s="147"/>
      <c r="D29" s="147"/>
    </row>
    <row r="30" customFormat="false" ht="33.75" hidden="false" customHeight="true" outlineLevel="0" collapsed="false">
      <c r="A30" s="102" t="s">
        <v>726</v>
      </c>
      <c r="B30" s="102"/>
      <c r="C30" s="102"/>
      <c r="D30" s="102"/>
    </row>
    <row r="31" customFormat="false" ht="18" hidden="false" customHeight="true" outlineLevel="0" collapsed="false">
      <c r="A31" s="148" t="s">
        <v>727</v>
      </c>
      <c r="B31" s="149"/>
      <c r="C31" s="150" t="s">
        <v>728</v>
      </c>
      <c r="D31" s="151" t="n">
        <f aca="false">SUMPRODUCT(('Libro Diario'!$A$10:$A$5000=$B$5)*('Libro Diario'!$E$10:$E$5000=3103001)*(YEAR('Libro Diario'!$C$10:$C$5000)=$D$5)*('Libro Diario'!$H$10:$H$5000))-SUMPRODUCT(('Libro Diario'!$A$10:$A$5000=$B$5)*('Libro Diario'!$E$10:$E$5000=3103001)*(YEAR('Libro Diario'!$C$10:$C$5000)=$D$5)*('Libro Diario'!$I$10:$I$5000))</f>
        <v>0</v>
      </c>
    </row>
    <row r="32" customFormat="false" ht="18" hidden="false" customHeight="true" outlineLevel="0" collapsed="false">
      <c r="A32" s="148" t="s">
        <v>729</v>
      </c>
      <c r="B32" s="149"/>
      <c r="C32" s="150" t="s">
        <v>730</v>
      </c>
      <c r="D32" s="151" t="n">
        <f aca="false">SUMPRODUCT(('Libro Diario'!$A$10:$A$5000=$B$5)*('Libro Diario'!$E$10:$E$5000=3103002)*(YEAR('Libro Diario'!$C$10:$C$5000)=$D$5)*('Libro Diario'!$H$10:$H$5000))-SUMPRODUCT(('Libro Diario'!$A$10:$A$5000=$B$5)*('Libro Diario'!$E$10:$E$5000=3103002)*(YEAR('Libro Diario'!$C$10:$C$5000)=$D$5)*('Libro Diario'!$I$10:$I$5000))</f>
        <v>0</v>
      </c>
    </row>
    <row r="33" customFormat="false" ht="18" hidden="false" customHeight="true" outlineLevel="0" collapsed="false">
      <c r="A33" s="148" t="s">
        <v>731</v>
      </c>
      <c r="B33" s="149"/>
      <c r="C33" s="150" t="s">
        <v>732</v>
      </c>
      <c r="D33" s="151" t="n">
        <f aca="false">SUMPRODUCT(('Libro Diario'!$A$10:$A$5000=$B$5)*('Libro Diario'!$E$10:$E$5000=3103003)*(YEAR('Libro Diario'!$C$10:$C$5000)=$D$5)*('Libro Diario'!$H$10:$H$5000))-SUMPRODUCT(('Libro Diario'!$A$10:$A$5000=$B$5)*('Libro Diario'!$E$10:$E$5000=3103003)*(YEAR('Libro Diario'!$C$10:$C$5000)=$D$5)*('Libro Diario'!$I$10:$I$5000))</f>
        <v>0</v>
      </c>
    </row>
    <row r="34" customFormat="false" ht="18" hidden="false" customHeight="true" outlineLevel="0" collapsed="false">
      <c r="A34" s="148" t="s">
        <v>733</v>
      </c>
      <c r="B34" s="149"/>
      <c r="C34" s="150" t="s">
        <v>734</v>
      </c>
      <c r="D34" s="151" t="n">
        <f aca="false">SUMPRODUCT(('Libro Diario'!$A$10:$A$5000=$B$5)*('Libro Diario'!$E$10:$E$5000=3103004)*(YEAR('Libro Diario'!$C$10:$C$5000)=$D$5)*('Libro Diario'!$H$10:$H$5000))-SUMPRODUCT(('Libro Diario'!$A$10:$A$5000=$B$5)*('Libro Diario'!$E$10:$E$5000=3103004)*(YEAR('Libro Diario'!$C$10:$C$5000)=$D$5)*('Libro Diario'!$I$10:$I$5000))</f>
        <v>0</v>
      </c>
    </row>
    <row r="35" customFormat="false" ht="18" hidden="false" customHeight="true" outlineLevel="0" collapsed="false">
      <c r="A35" s="148" t="s">
        <v>735</v>
      </c>
      <c r="B35" s="149"/>
      <c r="C35" s="150" t="s">
        <v>736</v>
      </c>
      <c r="D35" s="151" t="n">
        <f aca="false">SUMPRODUCT(('Libro Diario'!$A$10:$A$5000=$B$5)*('Libro Diario'!$E$10:$E$5000=3103005)*(YEAR('Libro Diario'!$C$10:$C$5000)=$D$5)*('Libro Diario'!$H$10:$H$5000))-SUMPRODUCT(('Libro Diario'!$A$10:$A$5000=$B$5)*('Libro Diario'!$E$10:$E$5000=3103005)*(YEAR('Libro Diario'!$C$10:$C$5000)=$D$5)*('Libro Diario'!$I$10:$I$5000))</f>
        <v>0</v>
      </c>
    </row>
    <row r="36" customFormat="false" ht="18" hidden="false" customHeight="true" outlineLevel="0" collapsed="false">
      <c r="A36" s="148" t="s">
        <v>737</v>
      </c>
      <c r="B36" s="149"/>
      <c r="C36" s="150" t="s">
        <v>738</v>
      </c>
      <c r="D36" s="151" t="n">
        <f aca="false">SUMPRODUCT(('Libro Diario'!$A$10:$A$5000=$B$5)*('Libro Diario'!$E$10:$E$5000=3103006)*(YEAR('Libro Diario'!$C$10:$C$5000)=$D$5)*('Libro Diario'!$H$10:$H$5000))-SUMPRODUCT(('Libro Diario'!$A$10:$A$5000=$B$5)*('Libro Diario'!$E$10:$E$5000=3103006)*(YEAR('Libro Diario'!$C$10:$C$5000)=$D$5)*('Libro Diario'!$I$10:$I$5000))</f>
        <v>0</v>
      </c>
    </row>
    <row r="37" customFormat="false" ht="18" hidden="false" customHeight="true" outlineLevel="0" collapsed="false">
      <c r="A37" s="148" t="s">
        <v>718</v>
      </c>
      <c r="B37" s="149"/>
      <c r="C37" s="150" t="s">
        <v>739</v>
      </c>
      <c r="D37" s="151" t="n">
        <f aca="false">SUMPRODUCT(('Libro Diario'!$A$10:$A$5000=$B$5)*('Libro Diario'!$E$10:$E$5000=3103007)*(YEAR('Libro Diario'!$C$10:$C$5000)=$D$5)*('Libro Diario'!$H$10:$H$5000))-SUMPRODUCT(('Libro Diario'!$A$10:$A$5000=$B$5)*('Libro Diario'!$E$10:$E$5000=3103007)*(YEAR('Libro Diario'!$C$10:$C$5000)=$D$5)*('Libro Diario'!$I$10:$I$5000))</f>
        <v>0</v>
      </c>
    </row>
    <row r="38" customFormat="false" ht="18" hidden="false" customHeight="true" outlineLevel="0" collapsed="false">
      <c r="A38" s="148" t="s">
        <v>740</v>
      </c>
      <c r="B38" s="149"/>
      <c r="C38" s="150" t="s">
        <v>741</v>
      </c>
      <c r="D38" s="151" t="n">
        <f aca="false">SUMPRODUCT(('Libro Diario'!$A$10:$A$5000=$B$5)*('Libro Diario'!$E$10:$E$5000=3103008)*(YEAR('Libro Diario'!$C$10:$C$5000)=$D$5)*('Libro Diario'!$H$10:$H$5000))-SUMPRODUCT(('Libro Diario'!$A$10:$A$5000=$B$5)*('Libro Diario'!$E$10:$E$5000=3103008)*(YEAR('Libro Diario'!$C$10:$C$5000)=$D$5)*('Libro Diario'!$I$10:$I$5000))</f>
        <v>0</v>
      </c>
    </row>
    <row r="39" customFormat="false" ht="18" hidden="false" customHeight="true" outlineLevel="0" collapsed="false">
      <c r="A39" s="148" t="s">
        <v>742</v>
      </c>
      <c r="B39" s="149"/>
      <c r="C39" s="150" t="s">
        <v>743</v>
      </c>
      <c r="D39" s="151" t="n">
        <f aca="false">SUMPRODUCT(('Libro Diario'!$A$10:$A$5000=$B$5)*('Libro Diario'!$E$10:$E$5000=3103009)*(YEAR('Libro Diario'!$C$10:$C$5000)=$D$5)*('Libro Diario'!$H$10:$H$5000))-SUMPRODUCT(('Libro Diario'!$A$10:$A$5000=$B$5)*('Libro Diario'!$E$10:$E$5000=3103009)*(YEAR('Libro Diario'!$C$10:$C$5000)=$D$5)*('Libro Diario'!$I$10:$I$5000))</f>
        <v>0</v>
      </c>
    </row>
    <row r="40" customFormat="false" ht="18" hidden="false" customHeight="true" outlineLevel="0" collapsed="false">
      <c r="A40" s="148" t="s">
        <v>744</v>
      </c>
      <c r="B40" s="149"/>
      <c r="C40" s="150" t="s">
        <v>745</v>
      </c>
      <c r="D40" s="151" t="n">
        <f aca="false">SUMPRODUCT(('Libro Diario'!$A$10:$A$5000=$B$5)*('Libro Diario'!$E$10:$E$5000=3103010)*(YEAR('Libro Diario'!$C$10:$C$5000)=$D$5)*('Libro Diario'!$H$10:$H$5000))-SUMPRODUCT(('Libro Diario'!$A$10:$A$5000=$B$5)*('Libro Diario'!$E$10:$E$5000=3103010)*(YEAR('Libro Diario'!$C$10:$C$5000)=$D$5)*('Libro Diario'!$I$10:$I$5000))</f>
        <v>0</v>
      </c>
    </row>
    <row r="41" customFormat="false" ht="18" hidden="false" customHeight="true" outlineLevel="0" collapsed="false">
      <c r="A41" s="148" t="s">
        <v>746</v>
      </c>
      <c r="B41" s="149"/>
      <c r="C41" s="150" t="s">
        <v>747</v>
      </c>
      <c r="D41" s="151" t="n">
        <f aca="false">SUMPRODUCT(('Libro Diario'!$A$10:$A$5000=$B$5)*('Libro Diario'!$E$10:$E$5000=3102002)*(YEAR('Libro Diario'!$C$10:$C$5000)=$D$5)*('Libro Diario'!$H$10:$H$5000))-SUMPRODUCT(('Libro Diario'!$A$10:$A$5000=$B$5)*('Libro Diario'!$E$10:$E$5000=3102002)*(YEAR('Libro Diario'!$C$10:$C$5000)=$D$5)*('Libro Diario'!$I$10:$I$5000))</f>
        <v>0</v>
      </c>
    </row>
    <row r="42" customFormat="false" ht="18" hidden="false" customHeight="true" outlineLevel="0" collapsed="false">
      <c r="A42" s="148" t="s">
        <v>748</v>
      </c>
      <c r="B42" s="149"/>
      <c r="C42" s="150" t="s">
        <v>749</v>
      </c>
      <c r="D42" s="151" t="n">
        <f aca="false">SUMPRODUCT(('Libro Diario'!$A$10:$A$5000=$B$5)*('Libro Diario'!$E$10:$E$5000=3201001)*(YEAR('Libro Diario'!$C$10:$C$5000)=$D$5)*('Libro Diario'!$H$10:$H$5000))-SUMPRODUCT(('Libro Diario'!$A$10:$A$5000=$B$5)*('Libro Diario'!$E$10:$E$5000=3201001)*(YEAR('Libro Diario'!$C$10:$C$5000)=$D$5)*('Libro Diario'!$I$10:$I$5000))</f>
        <v>0</v>
      </c>
    </row>
    <row r="43" customFormat="false" ht="24" hidden="false" customHeight="true" outlineLevel="0" collapsed="false">
      <c r="A43" s="152" t="s">
        <v>750</v>
      </c>
      <c r="B43" s="152"/>
      <c r="C43" s="152"/>
      <c r="D43" s="153" t="n">
        <f aca="false">SUM(D31:D42)</f>
        <v>0</v>
      </c>
    </row>
    <row r="44" customFormat="false" ht="7.5" hidden="false" customHeight="true" outlineLevel="0" collapsed="false"/>
    <row r="45" customFormat="false" ht="27.75" hidden="false" customHeight="true" outlineLevel="0" collapsed="false">
      <c r="A45" s="154" t="s">
        <v>751</v>
      </c>
      <c r="B45" s="154"/>
      <c r="C45" s="154"/>
      <c r="D45" s="155" t="n">
        <f aca="false">D26-D43</f>
        <v>0</v>
      </c>
    </row>
    <row r="46" customFormat="false" ht="7.5" hidden="false" customHeight="true" outlineLevel="0" collapsed="false"/>
    <row r="47" customFormat="false" ht="21.75" hidden="false" customHeight="true" outlineLevel="0" collapsed="false">
      <c r="A47" s="156" t="s">
        <v>752</v>
      </c>
      <c r="B47" s="156"/>
      <c r="C47" s="156"/>
      <c r="D47" s="156"/>
    </row>
    <row r="48" customFormat="false" ht="30" hidden="false" customHeight="true" outlineLevel="0" collapsed="false">
      <c r="A48" s="102" t="s">
        <v>753</v>
      </c>
      <c r="B48" s="102"/>
      <c r="C48" s="102"/>
      <c r="D48" s="102"/>
    </row>
    <row r="49" customFormat="false" ht="18" hidden="false" customHeight="true" outlineLevel="0" collapsed="false">
      <c r="A49" s="157" t="s">
        <v>754</v>
      </c>
      <c r="B49" s="158"/>
      <c r="C49" s="159" t="s">
        <v>755</v>
      </c>
      <c r="D49" s="160" t="n">
        <f aca="false">SUMPRODUCT(('Libro Diario'!$A$10:$A$5000=$B$5)*('Libro Diario'!$E$10:$E$5000=3201401)*(YEAR('Libro Diario'!$C$10:$C$5000)=$D$5)*('Libro Diario'!$H$10:$H$5000))-SUMPRODUCT(('Libro Diario'!$A$10:$A$5000=$B$5)*('Libro Diario'!$E$10:$E$5000=3201401)*(YEAR('Libro Diario'!$C$10:$C$5000)=$D$5)*('Libro Diario'!$I$10:$I$5000))</f>
        <v>0</v>
      </c>
    </row>
    <row r="50" customFormat="false" ht="18" hidden="false" customHeight="true" outlineLevel="0" collapsed="false">
      <c r="A50" s="157" t="s">
        <v>756</v>
      </c>
      <c r="B50" s="158"/>
      <c r="C50" s="159" t="s">
        <v>757</v>
      </c>
      <c r="D50" s="160" t="n">
        <f aca="false">SUMPRODUCT(('Libro Diario'!$A$10:$A$5000=$B$5)*('Libro Diario'!$E$10:$E$5000=3201402)*(YEAR('Libro Diario'!$C$10:$C$5000)=$D$5)*('Libro Diario'!$H$10:$H$5000))-SUMPRODUCT(('Libro Diario'!$A$10:$A$5000=$B$5)*('Libro Diario'!$E$10:$E$5000=3201402)*(YEAR('Libro Diario'!$C$10:$C$5000)=$D$5)*('Libro Diario'!$I$10:$I$5000))</f>
        <v>0</v>
      </c>
    </row>
    <row r="51" customFormat="false" ht="18" hidden="false" customHeight="true" outlineLevel="0" collapsed="false">
      <c r="A51" s="157" t="s">
        <v>758</v>
      </c>
      <c r="B51" s="158"/>
      <c r="C51" s="159" t="s">
        <v>759</v>
      </c>
      <c r="D51" s="160" t="n">
        <f aca="false">SUMPRODUCT(('Libro Diario'!$A$10:$A$5000=$B$5)*('Libro Diario'!$E$10:$E$5000=3201403)*(YEAR('Libro Diario'!$C$10:$C$5000)=$D$5)*('Libro Diario'!$H$10:$H$5000))-SUMPRODUCT(('Libro Diario'!$A$10:$A$5000=$B$5)*('Libro Diario'!$E$10:$E$5000=3201403)*(YEAR('Libro Diario'!$C$10:$C$5000)=$D$5)*('Libro Diario'!$I$10:$I$5000))</f>
        <v>0</v>
      </c>
    </row>
    <row r="52" customFormat="false" ht="18" hidden="false" customHeight="true" outlineLevel="0" collapsed="false">
      <c r="A52" s="157" t="s">
        <v>760</v>
      </c>
      <c r="B52" s="158"/>
      <c r="C52" s="159" t="s">
        <v>761</v>
      </c>
      <c r="D52" s="160" t="n">
        <f aca="false">SUMPRODUCT(('Libro Diario'!$A$10:$A$5000=$B$5)*('Libro Diario'!$E$10:$E$5000=3201404)*(YEAR('Libro Diario'!$C$10:$C$5000)=$D$5)*('Libro Diario'!$H$10:$H$5000))-SUMPRODUCT(('Libro Diario'!$A$10:$A$5000=$B$5)*('Libro Diario'!$E$10:$E$5000=3201404)*(YEAR('Libro Diario'!$C$10:$C$5000)=$D$5)*('Libro Diario'!$I$10:$I$5000))</f>
        <v>0</v>
      </c>
    </row>
    <row r="53" customFormat="false" ht="24" hidden="false" customHeight="true" outlineLevel="0" collapsed="false">
      <c r="A53" s="161" t="s">
        <v>762</v>
      </c>
      <c r="B53" s="161"/>
      <c r="C53" s="161"/>
      <c r="D53" s="162" t="n">
        <f aca="false">SUM(D49:D52)</f>
        <v>0</v>
      </c>
    </row>
    <row r="54" customFormat="false" ht="7.5" hidden="false" customHeight="true" outlineLevel="0" collapsed="false"/>
    <row r="55" customFormat="false" ht="21.75" hidden="false" customHeight="true" outlineLevel="0" collapsed="false">
      <c r="A55" s="163" t="s">
        <v>763</v>
      </c>
      <c r="B55" s="163"/>
      <c r="C55" s="163"/>
      <c r="D55" s="163"/>
    </row>
    <row r="56" customFormat="false" ht="30" hidden="false" customHeight="true" outlineLevel="0" collapsed="false">
      <c r="A56" s="102" t="s">
        <v>764</v>
      </c>
      <c r="B56" s="102"/>
      <c r="C56" s="102"/>
      <c r="D56" s="102"/>
    </row>
    <row r="57" customFormat="false" ht="18" hidden="false" customHeight="true" outlineLevel="0" collapsed="false">
      <c r="A57" s="164" t="s">
        <v>765</v>
      </c>
      <c r="B57" s="165"/>
      <c r="C57" s="166" t="s">
        <v>766</v>
      </c>
      <c r="D57" s="167" t="n">
        <f aca="false">SUMPRODUCT(('Libro Diario'!$A$10:$A$5000=$B$5)*('Libro Diario'!$E$10:$E$5000=3201501)*(YEAR('Libro Diario'!$C$10:$C$5000)=$D$5)*('Libro Diario'!$H$10:$H$5000))-SUMPRODUCT(('Libro Diario'!$A$10:$A$5000=$B$5)*('Libro Diario'!$E$10:$E$5000=3201501)*(YEAR('Libro Diario'!$C$10:$C$5000)=$D$5)*('Libro Diario'!$I$10:$I$5000))</f>
        <v>0</v>
      </c>
    </row>
    <row r="58" customFormat="false" ht="18" hidden="false" customHeight="true" outlineLevel="0" collapsed="false">
      <c r="A58" s="164" t="s">
        <v>767</v>
      </c>
      <c r="B58" s="165"/>
      <c r="C58" s="166" t="s">
        <v>768</v>
      </c>
      <c r="D58" s="167" t="n">
        <f aca="false">SUMPRODUCT(('Libro Diario'!$A$10:$A$5000=$B$5)*('Libro Diario'!$E$10:$E$5000=3201101)*(YEAR('Libro Diario'!$C$10:$C$5000)=$D$5)*('Libro Diario'!$H$10:$H$5000))-SUMPRODUCT(('Libro Diario'!$A$10:$A$5000=$B$5)*('Libro Diario'!$E$10:$E$5000=3201101)*(YEAR('Libro Diario'!$C$10:$C$5000)=$D$5)*('Libro Diario'!$I$10:$I$5000))</f>
        <v>0</v>
      </c>
    </row>
    <row r="59" customFormat="false" ht="18" hidden="false" customHeight="true" outlineLevel="0" collapsed="false">
      <c r="A59" s="164" t="s">
        <v>769</v>
      </c>
      <c r="B59" s="165"/>
      <c r="C59" s="166" t="s">
        <v>770</v>
      </c>
      <c r="D59" s="167" t="n">
        <f aca="false">SUMPRODUCT(('Libro Diario'!$A$10:$A$5000=$B$5)*('Libro Diario'!$E$10:$E$5000=3201103)*(YEAR('Libro Diario'!$C$10:$C$5000)=$D$5)*('Libro Diario'!$H$10:$H$5000))-SUMPRODUCT(('Libro Diario'!$A$10:$A$5000=$B$5)*('Libro Diario'!$E$10:$E$5000=3201103)*(YEAR('Libro Diario'!$C$10:$C$5000)=$D$5)*('Libro Diario'!$I$10:$I$5000))</f>
        <v>0</v>
      </c>
    </row>
    <row r="60" customFormat="false" ht="24" hidden="false" customHeight="true" outlineLevel="0" collapsed="false">
      <c r="A60" s="168" t="s">
        <v>771</v>
      </c>
      <c r="B60" s="168"/>
      <c r="C60" s="168"/>
      <c r="D60" s="169" t="n">
        <f aca="false">SUM(D57:D59)</f>
        <v>0</v>
      </c>
    </row>
    <row r="61" customFormat="false" ht="7.5" hidden="false" customHeight="true" outlineLevel="0" collapsed="false"/>
    <row r="62" customFormat="false" ht="27.75" hidden="false" customHeight="true" outlineLevel="0" collapsed="false">
      <c r="A62" s="170" t="s">
        <v>772</v>
      </c>
      <c r="B62" s="170"/>
      <c r="C62" s="170"/>
      <c r="D62" s="171" t="n">
        <f aca="false">D45-D53-D60</f>
        <v>0</v>
      </c>
    </row>
    <row r="63" customFormat="false" ht="24" hidden="false" customHeight="true" outlineLevel="0" collapsed="false">
      <c r="A63" s="102" t="s">
        <v>773</v>
      </c>
      <c r="B63" s="102"/>
      <c r="C63" s="102"/>
      <c r="D63" s="102"/>
    </row>
    <row r="64" customFormat="false" ht="7.5" hidden="false" customHeight="true" outlineLevel="0" collapsed="false"/>
    <row r="65" customFormat="false" ht="21.75" hidden="false" customHeight="true" outlineLevel="0" collapsed="false">
      <c r="A65" s="172" t="s">
        <v>774</v>
      </c>
      <c r="B65" s="172"/>
      <c r="C65" s="172"/>
      <c r="D65" s="172"/>
    </row>
    <row r="66" customFormat="false" ht="30" hidden="false" customHeight="true" outlineLevel="0" collapsed="false">
      <c r="A66" s="102" t="s">
        <v>775</v>
      </c>
      <c r="B66" s="102"/>
      <c r="C66" s="102"/>
      <c r="D66" s="102"/>
    </row>
    <row r="67" customFormat="false" ht="18" hidden="false" customHeight="true" outlineLevel="0" collapsed="false">
      <c r="A67" s="157" t="s">
        <v>776</v>
      </c>
      <c r="B67" s="158"/>
      <c r="C67" s="159" t="s">
        <v>777</v>
      </c>
      <c r="D67" s="160" t="n">
        <f aca="false">IF(D62&gt;0,D62*0.27,0)</f>
        <v>0</v>
      </c>
    </row>
    <row r="68" customFormat="false" ht="24" hidden="false" customHeight="true" outlineLevel="0" collapsed="false">
      <c r="A68" s="173" t="s">
        <v>778</v>
      </c>
      <c r="B68" s="173"/>
      <c r="C68" s="173"/>
      <c r="D68" s="174" t="n">
        <f aca="false">D67</f>
        <v>0</v>
      </c>
    </row>
    <row r="69" customFormat="false" ht="7.5" hidden="false" customHeight="true" outlineLevel="0" collapsed="false"/>
    <row r="70" customFormat="false" ht="33.75" hidden="false" customHeight="true" outlineLevel="0" collapsed="false">
      <c r="A70" s="175" t="s">
        <v>779</v>
      </c>
      <c r="B70" s="175"/>
      <c r="C70" s="175"/>
      <c r="D70" s="176" t="n">
        <f aca="false">D62-D68</f>
        <v>0</v>
      </c>
    </row>
    <row r="71" customFormat="false" ht="36" hidden="false" customHeight="true" outlineLevel="0" collapsed="false">
      <c r="A71" s="102" t="s">
        <v>780</v>
      </c>
      <c r="B71" s="102"/>
      <c r="C71" s="102"/>
      <c r="D71" s="102"/>
    </row>
    <row r="72" customFormat="false" ht="9.75" hidden="false" customHeight="true" outlineLevel="0" collapsed="false"/>
    <row r="73" customFormat="false" ht="21.75" hidden="false" customHeight="true" outlineLevel="0" collapsed="false">
      <c r="A73" s="177" t="s">
        <v>781</v>
      </c>
      <c r="B73" s="177"/>
      <c r="C73" s="177"/>
      <c r="D73" s="177"/>
    </row>
    <row r="74" customFormat="false" ht="18" hidden="false" customHeight="true" outlineLevel="0" collapsed="false">
      <c r="A74" s="178" t="s">
        <v>782</v>
      </c>
      <c r="B74" s="179" t="s">
        <v>783</v>
      </c>
      <c r="C74" s="179"/>
      <c r="D74" s="180" t="n">
        <f aca="false">IFERROR(D26/D17*100,0)</f>
        <v>0</v>
      </c>
    </row>
    <row r="75" customFormat="false" ht="18" hidden="false" customHeight="true" outlineLevel="0" collapsed="false">
      <c r="A75" s="178" t="s">
        <v>784</v>
      </c>
      <c r="B75" s="179" t="s">
        <v>785</v>
      </c>
      <c r="C75" s="179"/>
      <c r="D75" s="180" t="n">
        <f aca="false">IFERROR(D45/D17*100,0)</f>
        <v>0</v>
      </c>
    </row>
    <row r="76" customFormat="false" ht="18" hidden="false" customHeight="true" outlineLevel="0" collapsed="false">
      <c r="A76" s="178" t="s">
        <v>786</v>
      </c>
      <c r="B76" s="179" t="s">
        <v>787</v>
      </c>
      <c r="C76" s="179"/>
      <c r="D76" s="180" t="n">
        <f aca="false">IFERROR(D70/D17*100,0)</f>
        <v>0</v>
      </c>
    </row>
    <row r="77" customFormat="false" ht="18" hidden="false" customHeight="true" outlineLevel="0" collapsed="false">
      <c r="A77" s="178" t="s">
        <v>788</v>
      </c>
      <c r="B77" s="179" t="s">
        <v>789</v>
      </c>
      <c r="C77" s="179"/>
      <c r="D77" s="181" t="n">
        <f aca="false">D45+D53</f>
        <v>0</v>
      </c>
    </row>
    <row r="78" customFormat="false" ht="18" hidden="false" customHeight="true" outlineLevel="0" collapsed="false">
      <c r="A78" s="178" t="s">
        <v>790</v>
      </c>
      <c r="B78" s="179" t="s">
        <v>791</v>
      </c>
      <c r="C78" s="179"/>
      <c r="D78" s="180" t="n">
        <f aca="false">IFERROR(D68/D62*100,0)</f>
        <v>0</v>
      </c>
    </row>
    <row r="79" customFormat="false" ht="9.75" hidden="false" customHeight="true" outlineLevel="0" collapsed="false"/>
    <row r="80" customFormat="false" ht="63.75" hidden="false" customHeight="true" outlineLevel="0" collapsed="false">
      <c r="A80" s="102" t="s">
        <v>792</v>
      </c>
      <c r="B80" s="102"/>
      <c r="C80" s="102"/>
      <c r="D80" s="102"/>
    </row>
  </sheetData>
  <mergeCells count="36">
    <mergeCell ref="A1:D1"/>
    <mergeCell ref="A3:D3"/>
    <mergeCell ref="A7:D7"/>
    <mergeCell ref="A8:C8"/>
    <mergeCell ref="A9:D9"/>
    <mergeCell ref="A10:D10"/>
    <mergeCell ref="A17:C17"/>
    <mergeCell ref="A19:D19"/>
    <mergeCell ref="A20:D20"/>
    <mergeCell ref="A24:C24"/>
    <mergeCell ref="A26:C26"/>
    <mergeCell ref="A27:D27"/>
    <mergeCell ref="A29:D29"/>
    <mergeCell ref="A30:D30"/>
    <mergeCell ref="A43:C43"/>
    <mergeCell ref="A45:C45"/>
    <mergeCell ref="A47:D47"/>
    <mergeCell ref="A48:D48"/>
    <mergeCell ref="A53:C53"/>
    <mergeCell ref="A55:D55"/>
    <mergeCell ref="A56:D56"/>
    <mergeCell ref="A60:C60"/>
    <mergeCell ref="A62:C62"/>
    <mergeCell ref="A63:D63"/>
    <mergeCell ref="A65:D65"/>
    <mergeCell ref="A66:D66"/>
    <mergeCell ref="A68:C68"/>
    <mergeCell ref="A70:C70"/>
    <mergeCell ref="A71:D71"/>
    <mergeCell ref="A73:D73"/>
    <mergeCell ref="B74:C74"/>
    <mergeCell ref="B75:C75"/>
    <mergeCell ref="B76:C76"/>
    <mergeCell ref="B77:C77"/>
    <mergeCell ref="B78:C78"/>
    <mergeCell ref="A80:D80"/>
  </mergeCells>
  <dataValidations count="1">
    <dataValidation allowBlank="true" errorStyle="stop" operator="between" showDropDown="false" showErrorMessage="fals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R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3" min="3" style="1" width="5"/>
    <col collapsed="false" customWidth="true" hidden="false" outlineLevel="0" max="4" min="4" style="1" width="34"/>
    <col collapsed="false" customWidth="true" hidden="false" outlineLevel="0" max="5" min="5" style="1" width="26"/>
    <col collapsed="false" customWidth="true" hidden="false" outlineLevel="0" max="7" min="6" style="1" width="14"/>
  </cols>
  <sheetData>
    <row r="1" customFormat="false" ht="39.75" hidden="false" customHeight="true" outlineLevel="0" collapsed="false">
      <c r="A1" s="48" t="s">
        <v>793</v>
      </c>
      <c r="B1" s="48"/>
      <c r="C1" s="48"/>
      <c r="D1" s="48"/>
      <c r="E1" s="48"/>
      <c r="F1" s="48"/>
      <c r="G1" s="48"/>
      <c r="H1" s="48"/>
      <c r="I1" s="48"/>
      <c r="J1" s="48"/>
      <c r="K1" s="48"/>
    </row>
    <row r="2" customFormat="false" ht="6" hidden="false" customHeight="true" outlineLevel="0" collapsed="false"/>
    <row r="3" customFormat="false" ht="39.75" hidden="false" customHeight="true" outlineLevel="0" collapsed="false">
      <c r="A3" s="97" t="s">
        <v>794</v>
      </c>
      <c r="B3" s="97"/>
      <c r="C3" s="97"/>
      <c r="D3" s="97"/>
      <c r="E3" s="97"/>
      <c r="F3" s="97"/>
      <c r="G3" s="97"/>
    </row>
    <row r="4" customFormat="false" ht="6" hidden="false" customHeight="true" outlineLevel="0" collapsed="false"/>
    <row r="5" customFormat="false" ht="25.5" hidden="false" customHeight="true" outlineLevel="0" collapsed="false">
      <c r="A5" s="56" t="s">
        <v>418</v>
      </c>
      <c r="B5" s="85" t="s">
        <v>398</v>
      </c>
      <c r="C5" s="85"/>
      <c r="D5" s="56" t="s">
        <v>795</v>
      </c>
      <c r="E5" s="86" t="n">
        <v>2025</v>
      </c>
      <c r="F5" s="87" t="s">
        <v>796</v>
      </c>
    </row>
    <row r="6" customFormat="false" ht="7.5" hidden="false" customHeight="true" outlineLevel="0" collapsed="false"/>
    <row r="7" customFormat="false" ht="21.75" hidden="false" customHeight="true" outlineLevel="0" collapsed="false">
      <c r="A7" s="99" t="s">
        <v>797</v>
      </c>
      <c r="B7" s="99" t="s">
        <v>798</v>
      </c>
      <c r="C7" s="99" t="s">
        <v>799</v>
      </c>
      <c r="D7" s="99" t="s">
        <v>800</v>
      </c>
      <c r="E7" s="99" t="s">
        <v>801</v>
      </c>
      <c r="F7" s="99" t="s">
        <v>802</v>
      </c>
      <c r="G7" s="99" t="s">
        <v>803</v>
      </c>
    </row>
    <row r="8" customFormat="false" ht="21.75" hidden="false" customHeight="true" outlineLevel="0" collapsed="false">
      <c r="A8" s="182" t="s">
        <v>804</v>
      </c>
      <c r="B8" s="182"/>
      <c r="C8" s="182"/>
      <c r="D8" s="182"/>
      <c r="E8" s="182"/>
      <c r="F8" s="182"/>
      <c r="G8" s="182"/>
    </row>
    <row r="9" customFormat="false" ht="25.5" hidden="false" customHeight="true" outlineLevel="0" collapsed="false">
      <c r="A9" s="183" t="s">
        <v>805</v>
      </c>
      <c r="B9" s="183"/>
      <c r="C9" s="183"/>
      <c r="D9" s="183"/>
      <c r="E9" s="183"/>
      <c r="F9" s="183"/>
      <c r="G9" s="183"/>
    </row>
    <row r="10" customFormat="false" ht="21.75" hidden="false" customHeight="true" outlineLevel="0" collapsed="false">
      <c r="A10" s="184" t="s">
        <v>806</v>
      </c>
      <c r="B10" s="185" t="n">
        <f aca="false">IFERROR($J$100/$J$101,0)</f>
        <v>0</v>
      </c>
      <c r="C10" s="186" t="str">
        <f aca="false">IF(B10&gt;=1.5,"🟢",IF(B10&gt;=1,"🟡","🔴"))</f>
        <v>🔴</v>
      </c>
      <c r="D10" s="187" t="s">
        <v>807</v>
      </c>
      <c r="E10" s="188" t="s">
        <v>808</v>
      </c>
      <c r="F10" s="189" t="s">
        <v>289</v>
      </c>
      <c r="G10" s="190" t="s">
        <v>290</v>
      </c>
    </row>
    <row r="11" customFormat="false" ht="21.75" hidden="false" customHeight="true" outlineLevel="0" collapsed="false">
      <c r="A11" s="184" t="s">
        <v>809</v>
      </c>
      <c r="B11" s="185" t="n">
        <f aca="false">IFERROR(($J$100-$J$107)/$J$101,0)</f>
        <v>0</v>
      </c>
      <c r="C11" s="186" t="str">
        <f aca="false">IF(B11&gt;=1,"🟢",IF(B11&gt;=0.7,"🟡","🔴"))</f>
        <v>🔴</v>
      </c>
      <c r="D11" s="187" t="s">
        <v>810</v>
      </c>
      <c r="E11" s="188" t="s">
        <v>811</v>
      </c>
      <c r="F11" s="189" t="s">
        <v>295</v>
      </c>
      <c r="G11" s="190" t="s">
        <v>296</v>
      </c>
    </row>
    <row r="12" customFormat="false" ht="21.75" hidden="false" customHeight="true" outlineLevel="0" collapsed="false">
      <c r="A12" s="184" t="s">
        <v>812</v>
      </c>
      <c r="B12" s="185" t="n">
        <f aca="false">IFERROR($J$106/$J$101,0)</f>
        <v>0</v>
      </c>
      <c r="C12" s="186" t="str">
        <f aca="false">IF(B12&gt;=0.3,"🟢",IF(B12&gt;=0.1,"🟡","🔴"))</f>
        <v>🔴</v>
      </c>
      <c r="D12" s="187" t="s">
        <v>813</v>
      </c>
      <c r="E12" s="188" t="s">
        <v>814</v>
      </c>
      <c r="F12" s="189" t="s">
        <v>299</v>
      </c>
      <c r="G12" s="190" t="s">
        <v>300</v>
      </c>
    </row>
    <row r="13" customFormat="false" ht="7.5" hidden="false" customHeight="true" outlineLevel="0" collapsed="false"/>
    <row r="14" customFormat="false" ht="21.75" hidden="false" customHeight="true" outlineLevel="0" collapsed="false">
      <c r="A14" s="191" t="s">
        <v>815</v>
      </c>
      <c r="B14" s="191"/>
      <c r="C14" s="191"/>
      <c r="D14" s="191"/>
      <c r="E14" s="191"/>
      <c r="F14" s="191"/>
      <c r="G14" s="191"/>
    </row>
    <row r="15" customFormat="false" ht="30" hidden="false" customHeight="true" outlineLevel="0" collapsed="false">
      <c r="A15" s="192" t="s">
        <v>816</v>
      </c>
      <c r="B15" s="192"/>
      <c r="C15" s="192"/>
      <c r="D15" s="192"/>
      <c r="E15" s="192"/>
      <c r="F15" s="192"/>
      <c r="G15" s="192"/>
    </row>
    <row r="16" customFormat="false" ht="21.75" hidden="false" customHeight="true" outlineLevel="0" collapsed="false">
      <c r="A16" s="184" t="s">
        <v>817</v>
      </c>
      <c r="B16" s="185" t="n">
        <f aca="false">IFERROR($J$102/($J$102+$J$103),0)</f>
        <v>0</v>
      </c>
      <c r="C16" s="186" t="str">
        <f aca="false">IF(B16&lt;=0.5,"🟢",IF(B16&lt;=0.7,"🟡","🔴"))</f>
        <v>🟢</v>
      </c>
      <c r="D16" s="187" t="s">
        <v>818</v>
      </c>
      <c r="E16" s="188" t="s">
        <v>819</v>
      </c>
      <c r="F16" s="189" t="s">
        <v>820</v>
      </c>
      <c r="G16" s="190" t="s">
        <v>821</v>
      </c>
    </row>
    <row r="17" customFormat="false" ht="21.75" hidden="false" customHeight="true" outlineLevel="0" collapsed="false">
      <c r="A17" s="184" t="s">
        <v>822</v>
      </c>
      <c r="B17" s="185" t="n">
        <f aca="false">IFERROR($J$102/$J$103,0)</f>
        <v>0</v>
      </c>
      <c r="C17" s="186" t="str">
        <f aca="false">IF(B17&lt;=1,"🟢",IF(B17&lt;=2,"🟡","🔴"))</f>
        <v>🟢</v>
      </c>
      <c r="D17" s="187" t="s">
        <v>823</v>
      </c>
      <c r="E17" s="188" t="s">
        <v>824</v>
      </c>
      <c r="F17" s="189" t="s">
        <v>308</v>
      </c>
      <c r="G17" s="190" t="s">
        <v>825</v>
      </c>
    </row>
    <row r="18" customFormat="false" ht="21.75" hidden="false" customHeight="true" outlineLevel="0" collapsed="false">
      <c r="A18" s="184" t="s">
        <v>826</v>
      </c>
      <c r="B18" s="185" t="n">
        <f aca="false">IFERROR(($J$104-$J$105)/$J$108,0)</f>
        <v>0</v>
      </c>
      <c r="C18" s="186" t="str">
        <f aca="false">IF(B18&gt;=3,"🟢",IF(B18&gt;=1.5,"🟡","🔴"))</f>
        <v>🔴</v>
      </c>
      <c r="D18" s="187" t="s">
        <v>827</v>
      </c>
      <c r="E18" s="188" t="s">
        <v>828</v>
      </c>
      <c r="F18" s="189" t="s">
        <v>829</v>
      </c>
      <c r="G18" s="190" t="s">
        <v>830</v>
      </c>
    </row>
    <row r="19" customFormat="false" ht="21.75" hidden="false" customHeight="true" outlineLevel="0" collapsed="false">
      <c r="A19" s="184" t="s">
        <v>831</v>
      </c>
      <c r="B19" s="185" t="n">
        <f aca="false">IFERROR($J$101/$J$102,0)</f>
        <v>0</v>
      </c>
      <c r="C19" s="186" t="str">
        <f aca="false">IF(B19&lt;=0.5,"🟢",IF(B19&lt;=0.7,"🟡","🔴"))</f>
        <v>🟢</v>
      </c>
      <c r="D19" s="187" t="s">
        <v>832</v>
      </c>
      <c r="E19" s="188" t="s">
        <v>833</v>
      </c>
      <c r="F19" s="189" t="s">
        <v>820</v>
      </c>
      <c r="G19" s="190" t="s">
        <v>821</v>
      </c>
    </row>
    <row r="20" customFormat="false" ht="7.5" hidden="false" customHeight="true" outlineLevel="0" collapsed="false"/>
    <row r="21" customFormat="false" ht="21.75" hidden="false" customHeight="true" outlineLevel="0" collapsed="false">
      <c r="A21" s="121" t="s">
        <v>834</v>
      </c>
      <c r="B21" s="121"/>
      <c r="C21" s="121"/>
      <c r="D21" s="121"/>
      <c r="E21" s="121"/>
      <c r="F21" s="121"/>
      <c r="G21" s="121"/>
    </row>
    <row r="22" customFormat="false" ht="25.5" hidden="false" customHeight="true" outlineLevel="0" collapsed="false">
      <c r="A22" s="132" t="s">
        <v>835</v>
      </c>
      <c r="B22" s="132"/>
      <c r="C22" s="132"/>
      <c r="D22" s="132"/>
      <c r="E22" s="132"/>
      <c r="F22" s="132"/>
      <c r="G22" s="132"/>
    </row>
    <row r="23" customFormat="false" ht="21.75" hidden="false" customHeight="true" outlineLevel="0" collapsed="false">
      <c r="A23" s="184" t="s">
        <v>836</v>
      </c>
      <c r="B23" s="193" t="n">
        <f aca="false">IFERROR(($J$104-$J$105)/$J$103,0)</f>
        <v>0</v>
      </c>
      <c r="C23" s="186" t="str">
        <f aca="false">IF(B23&gt;=0.15,"🟢",IF(B23&gt;=0.05,"🟡","🔴"))</f>
        <v>🔴</v>
      </c>
      <c r="D23" s="187" t="s">
        <v>837</v>
      </c>
      <c r="E23" s="188" t="s">
        <v>838</v>
      </c>
      <c r="F23" s="189" t="s">
        <v>839</v>
      </c>
      <c r="G23" s="190" t="s">
        <v>840</v>
      </c>
    </row>
    <row r="24" customFormat="false" ht="21.75" hidden="false" customHeight="true" outlineLevel="0" collapsed="false">
      <c r="A24" s="184" t="s">
        <v>841</v>
      </c>
      <c r="B24" s="193" t="n">
        <f aca="false">IFERROR(($J$104-$J$105)/($J$102+$J$103),0)</f>
        <v>0</v>
      </c>
      <c r="C24" s="186" t="str">
        <f aca="false">IF(B24&gt;=0.08,"🟢",IF(B24&gt;=0.03,"🟡","🔴"))</f>
        <v>🔴</v>
      </c>
      <c r="D24" s="187" t="s">
        <v>842</v>
      </c>
      <c r="E24" s="188" t="s">
        <v>843</v>
      </c>
      <c r="F24" s="189" t="s">
        <v>844</v>
      </c>
      <c r="G24" s="190" t="s">
        <v>845</v>
      </c>
    </row>
    <row r="25" customFormat="false" ht="21.75" hidden="false" customHeight="true" outlineLevel="0" collapsed="false">
      <c r="A25" s="184" t="s">
        <v>316</v>
      </c>
      <c r="B25" s="193" t="n">
        <f aca="false">IFERROR(($J$104-SUMPRODUCT(('Libro Diario'!$A$10:$A$5000=B5)*('Libro Diario'!$E$10:$E$5000=3101001)*(YEAR('Libro Diario'!$C$10:$C$5000)=E5)*('Libro Diario'!$H$10:$H$5000)))/$J$104,0)</f>
        <v>0</v>
      </c>
      <c r="C25" s="186" t="str">
        <f aca="false">IF(B25&gt;=0.3,"🟢",IF(B25&gt;=0.15,"🟡","🔴"))</f>
        <v>🔴</v>
      </c>
      <c r="D25" s="187" t="s">
        <v>846</v>
      </c>
      <c r="E25" s="188" t="s">
        <v>847</v>
      </c>
      <c r="F25" s="189" t="s">
        <v>317</v>
      </c>
      <c r="G25" s="190" t="s">
        <v>848</v>
      </c>
    </row>
    <row r="26" customFormat="false" ht="21.75" hidden="false" customHeight="true" outlineLevel="0" collapsed="false">
      <c r="A26" s="184" t="s">
        <v>849</v>
      </c>
      <c r="B26" s="193" t="n">
        <f aca="false">IFERROR(($J$104-$J$105)/$J$104,0)</f>
        <v>0</v>
      </c>
      <c r="C26" s="186" t="str">
        <f aca="false">IF(B26&gt;=0.1,"🟢",IF(B26&gt;=0.03,"🟡","🔴"))</f>
        <v>🔴</v>
      </c>
      <c r="D26" s="187" t="s">
        <v>850</v>
      </c>
      <c r="E26" s="188" t="s">
        <v>851</v>
      </c>
      <c r="F26" s="189" t="s">
        <v>312</v>
      </c>
      <c r="G26" s="190" t="s">
        <v>852</v>
      </c>
    </row>
    <row r="27" customFormat="false" ht="7.5" hidden="false" customHeight="true" outlineLevel="0" collapsed="false"/>
    <row r="28" customFormat="false" ht="21.75" hidden="false" customHeight="true" outlineLevel="0" collapsed="false">
      <c r="A28" s="194" t="s">
        <v>853</v>
      </c>
      <c r="B28" s="194"/>
      <c r="C28" s="194"/>
      <c r="D28" s="194"/>
      <c r="E28" s="194"/>
      <c r="F28" s="194"/>
      <c r="G28" s="194"/>
    </row>
    <row r="29" customFormat="false" ht="25.5" hidden="false" customHeight="true" outlineLevel="0" collapsed="false">
      <c r="A29" s="195" t="s">
        <v>854</v>
      </c>
      <c r="B29" s="195"/>
      <c r="C29" s="195"/>
      <c r="D29" s="195"/>
      <c r="E29" s="195"/>
      <c r="F29" s="195"/>
      <c r="G29" s="195"/>
    </row>
    <row r="30" customFormat="false" ht="21.75" hidden="false" customHeight="true" outlineLevel="0" collapsed="false">
      <c r="A30" s="184" t="s">
        <v>855</v>
      </c>
      <c r="B30" s="185" t="n">
        <f aca="false">IFERROR(SUMPRODUCT(('Libro Diario'!$A$10:$A$5000=B5)*('Libro Diario'!$E$10:$E$5000=3101001)*(YEAR('Libro Diario'!$C$10:$C$5000)=E5)*('Libro Diario'!$H$10:$H$5000))/$J$107,0)</f>
        <v>0</v>
      </c>
      <c r="C30" s="186" t="str">
        <f aca="false">IF(B30&gt;=6,"🟢",IF(B30&gt;=3,"🟡","🔴"))</f>
        <v>🔴</v>
      </c>
      <c r="D30" s="187" t="s">
        <v>856</v>
      </c>
      <c r="E30" s="188" t="s">
        <v>857</v>
      </c>
      <c r="F30" s="189" t="s">
        <v>858</v>
      </c>
      <c r="G30" s="190" t="s">
        <v>859</v>
      </c>
    </row>
    <row r="31" customFormat="false" ht="21.75" hidden="false" customHeight="true" outlineLevel="0" collapsed="false">
      <c r="A31" s="184" t="s">
        <v>860</v>
      </c>
      <c r="B31" s="196" t="n">
        <f aca="false">IFERROR(SUMPRODUCT(('Libro Diario'!$A$10:$A$5000=B5)*('Libro Diario'!$E$10:$E$5000=1104001)*(YEAR('Libro Diario'!$C$10:$C$5000)=E5)*('Libro Diario'!$H$10:$H$5000))/($J$104/365),0)</f>
        <v>0</v>
      </c>
      <c r="C31" s="186" t="str">
        <f aca="false">IF(B31&lt;=30,"🟢",IF(B31&lt;=60,"🟡","🔴"))</f>
        <v>🟢</v>
      </c>
      <c r="D31" s="187" t="s">
        <v>861</v>
      </c>
      <c r="E31" s="188" t="s">
        <v>862</v>
      </c>
      <c r="F31" s="189" t="s">
        <v>325</v>
      </c>
      <c r="G31" s="190" t="s">
        <v>863</v>
      </c>
    </row>
    <row r="32" customFormat="false" ht="21.75" hidden="false" customHeight="true" outlineLevel="0" collapsed="false">
      <c r="A32" s="184" t="s">
        <v>864</v>
      </c>
      <c r="B32" s="196" t="n">
        <f aca="false">IFERROR(SUMPRODUCT(('Libro Diario'!$A$10:$A$5000=B5)*('Libro Diario'!$E$10:$E$5000=2102001)*(YEAR('Libro Diario'!$C$10:$C$5000)=E5)*('Libro Diario'!$I$10:$I$5000))/(SUMPRODUCT(('Libro Diario'!$A$10:$A$5000=B5)*('Libro Diario'!$E$10:$E$5000=3101001)*(YEAR('Libro Diario'!$C$10:$C$5000)=E5)*('Libro Diario'!$H$10:$H$5000))/365),0)</f>
        <v>0</v>
      </c>
      <c r="C32" s="186" t="str">
        <f aca="false">IF(B32&gt;=30,"🟢",IF(B32&gt;=45,"🟡","🔴"))</f>
        <v>🔴</v>
      </c>
      <c r="D32" s="187" t="s">
        <v>865</v>
      </c>
      <c r="E32" s="188" t="s">
        <v>866</v>
      </c>
      <c r="F32" s="189" t="s">
        <v>867</v>
      </c>
      <c r="G32" s="190" t="s">
        <v>868</v>
      </c>
    </row>
    <row r="33" customFormat="false" ht="9.75" hidden="false" customHeight="true" outlineLevel="0" collapsed="false"/>
    <row r="34" customFormat="false" ht="21.75" hidden="false" customHeight="true" outlineLevel="0" collapsed="false">
      <c r="A34" s="177" t="s">
        <v>869</v>
      </c>
      <c r="B34" s="177"/>
      <c r="C34" s="177"/>
      <c r="D34" s="177"/>
      <c r="E34" s="177"/>
      <c r="F34" s="177"/>
      <c r="G34" s="177"/>
    </row>
    <row r="35" customFormat="false" ht="30" hidden="false" customHeight="true" outlineLevel="0" collapsed="false">
      <c r="A35" s="95" t="str">
        <f aca="false">IFERROR("Estado general del cliente " &amp; B5 &amp; " (" &amp; E5 &amp; "):  " &amp; TEXT(COUNTIF(C8:C33,"🟢"),"0") &amp; " indicadores SANOS  |  " &amp; TEXT(COUNTIF(C8:C33,"🟡"),"0") &amp; " en PRECAUCIÓN  |  " &amp; TEXT(COUNTIF(C8:C33,"🔴"),"0") &amp; " en RIESGO","Sin datos")</f>
        <v>Estado general del cliente CLI001 (2025):  4 indicadores SANOS  |  0 en PRECAUCIÓN  |  10 en RIESGO</v>
      </c>
      <c r="B35" s="95"/>
      <c r="C35" s="95"/>
      <c r="D35" s="95"/>
      <c r="E35" s="95"/>
      <c r="F35" s="95"/>
      <c r="G35" s="95"/>
    </row>
    <row r="100" customFormat="false" ht="15" hidden="false" customHeight="true" outlineLevel="0" collapsed="false">
      <c r="J100" s="1" t="n">
        <f aca="false">((SUMPRODUCT(('Libro Diario'!$A$10:$A$5000=B5)*('Libro Diario'!$E$10:$E$5000=1101001)*(YEAR('Libro Diario'!$C$10:$C$5000)=E5)*('Libro Diario'!$H$10:$H$5000))-SUMPRODUCT(('Libro Diario'!$A$10:$A$5000=B5)*('Libro Diario'!$E$10:$E$5000=1101001)*(YEAR('Libro Diario'!$C$10:$C$5000)=E5)*('Libro Diario'!$I$10:$I$5000)))+(SUMPRODUCT(('Libro Diario'!$A$10:$A$5000=B5)*('Libro Diario'!$E$10:$E$5000=1101002)*(YEAR('Libro Diario'!$C$10:$C$5000)=E5)*('Libro Diario'!$H$10:$H$5000))-SUMPRODUCT(('Libro Diario'!$A$10:$A$5000=B5)*('Libro Diario'!$E$10:$E$5000=1101002)*(YEAR('Libro Diario'!$C$10:$C$5000)=E5)*('Libro Diario'!$I$10:$I$5000)))+(SUMPRODUCT(('Libro Diario'!$A$10:$A$5000=B5)*('Libro Diario'!$E$10:$E$5000=1104001)*(YEAR('Libro Diario'!$C$10:$C$5000)=E5)*('Libro Diario'!$H$10:$H$5000))-SUMPRODUCT(('Libro Diario'!$A$10:$A$5000=B5)*('Libro Diario'!$E$10:$E$5000=1104001)*(YEAR('Libro Diario'!$C$10:$C$5000)=E5)*('Libro Diario'!$I$10:$I$5000)))+(SUMPRODUCT(('Libro Diario'!$A$10:$A$5000=B5)*('Libro Diario'!$E$10:$E$5000=1107101)*(YEAR('Libro Diario'!$C$10:$C$5000)=E5)*('Libro Diario'!$H$10:$H$5000))-SUMPRODUCT(('Libro Diario'!$A$10:$A$5000=B5)*('Libro Diario'!$E$10:$E$5000=1107101)*(YEAR('Libro Diario'!$C$10:$C$5000)=E5)*('Libro Diario'!$I$10:$I$5000)))+(SUMPRODUCT(('Libro Diario'!$A$10:$A$5000=B5)*('Libro Diario'!$E$10:$E$5000=1107201)*(YEAR('Libro Diario'!$C$10:$C$5000)=E5)*('Libro Diario'!$H$10:$H$5000))-SUMPRODUCT(('Libro Diario'!$A$10:$A$5000=B5)*('Libro Diario'!$E$10:$E$5000=1107201)*(YEAR('Libro Diario'!$C$10:$C$5000)=E5)*('Libro Diario'!$I$10:$I$5000)))+(SUMPRODUCT(('Libro Diario'!$A$10:$A$5000=B5)*('Libro Diario'!$E$10:$E$5000=1108001)*(YEAR('Libro Diario'!$C$10:$C$5000)=E5)*('Libro Diario'!$H$10:$H$5000))-SUMPRODUCT(('Libro Diario'!$A$10:$A$5000=B5)*('Libro Diario'!$E$10:$E$5000=1108001)*(YEAR('Libro Diario'!$C$10:$C$5000)=E5)*('Libro Diario'!$I$10:$I$5000)))+(SUMPRODUCT(('Libro Diario'!$A$10:$A$5000=B5)*('Libro Diario'!$E$10:$E$5000=1108002)*(YEAR('Libro Diario'!$C$10:$C$5000)=E5)*('Libro Diario'!$H$10:$H$5000))-SUMPRODUCT(('Libro Diario'!$A$10:$A$5000=B5)*('Libro Diario'!$E$10:$E$5000=1108002)*(YEAR('Libro Diario'!$C$10:$C$5000)=E5)*('Libro Diario'!$I$10:$I$5000))))</f>
        <v>0</v>
      </c>
      <c r="K100" s="1" t="n">
        <f aca="false">((SUMPRODUCT(('Libro Diario'!$A$10:$A$5000=B5)*('Libro Diario'!$E$10:$E$5000=2102001)*(YEAR('Libro Diario'!$C$10:$C$5000)=E5)*('Libro Diario'!$I$10:$I$5000))-SUMPRODUCT(('Libro Diario'!$A$10:$A$5000=B5)*('Libro Diario'!$E$10:$E$5000=2102001)*(YEAR('Libro Diario'!$C$10:$C$5000)=E5)*('Libro Diario'!$H$10:$H$5000)))+(SUMPRODUCT(('Libro Diario'!$A$10:$A$5000=B5)*('Libro Diario'!$E$10:$E$5000=2103001)*(YEAR('Libro Diario'!$C$10:$C$5000)=E5)*('Libro Diario'!$I$10:$I$5000))-SUMPRODUCT(('Libro Diario'!$A$10:$A$5000=B5)*('Libro Diario'!$E$10:$E$5000=2103001)*(YEAR('Libro Diario'!$C$10:$C$5000)=E5)*('Libro Diario'!$H$10:$H$5000)))+(SUMPRODUCT(('Libro Diario'!$A$10:$A$5000=B5)*('Libro Diario'!$E$10:$E$5000=2104001)*(YEAR('Libro Diario'!$C$10:$C$5000)=E5)*('Libro Diario'!$I$10:$I$5000))-SUMPRODUCT(('Libro Diario'!$A$10:$A$5000=B5)*('Libro Diario'!$E$10:$E$5000=2104001)*(YEAR('Libro Diario'!$C$10:$C$5000)=E5)*('Libro Diario'!$H$10:$H$5000)))+(SUMPRODUCT(('Libro Diario'!$A$10:$A$5000=B5)*('Libro Diario'!$E$10:$E$5000=2105101)*(YEAR('Libro Diario'!$C$10:$C$5000)=E5)*('Libro Diario'!$I$10:$I$5000))-SUMPRODUCT(('Libro Diario'!$A$10:$A$5000=B5)*('Libro Diario'!$E$10:$E$5000=2105101)*(YEAR('Libro Diario'!$C$10:$C$5000)=E5)*('Libro Diario'!$H$10:$H$5000)))+(SUMPRODUCT(('Libro Diario'!$A$10:$A$5000=B5)*('Libro Diario'!$E$10:$E$5000=2105005)*(YEAR('Libro Diario'!$C$10:$C$5000)=E5)*('Libro Diario'!$I$10:$I$5000))-SUMPRODUCT(('Libro Diario'!$A$10:$A$5000=B5)*('Libro Diario'!$E$10:$E$5000=2105005)*(YEAR('Libro Diario'!$C$10:$C$5000)=E5)*('Libro Diario'!$H$10:$H$5000)))+(SUMPRODUCT(('Libro Diario'!$A$10:$A$5000=B5)*('Libro Diario'!$E$10:$E$5000=2106001)*(YEAR('Libro Diario'!$C$10:$C$5000)=E5)*('Libro Diario'!$I$10:$I$5000))-SUMPRODUCT(('Libro Diario'!$A$10:$A$5000=B5)*('Libro Diario'!$E$10:$E$5000=2106001)*(YEAR('Libro Diario'!$C$10:$C$5000)=E5)*('Libro Diario'!$H$10:$H$5000)))+(SUMPRODUCT(('Libro Diario'!$A$10:$A$5000=B5)*('Libro Diario'!$E$10:$E$5000=2107001)*(YEAR('Libro Diario'!$C$10:$C$5000)=E5)*('Libro Diario'!$I$10:$I$5000))-SUMPRODUCT(('Libro Diario'!$A$10:$A$5000=B5)*('Libro Diario'!$E$10:$E$5000=2107001)*(YEAR('Libro Diario'!$C$10:$C$5000)=E5)*('Libro Diario'!$H$10:$H$5000)))+(SUMPRODUCT(('Libro Diario'!$A$10:$A$5000=B5)*('Libro Diario'!$E$10:$E$5000=2108001)*(YEAR('Libro Diario'!$C$10:$C$5000)=E5)*('Libro Diario'!$I$10:$I$5000))-SUMPRODUCT(('Libro Diario'!$A$10:$A$5000=B5)*('Libro Diario'!$E$10:$E$5000=2108001)*(YEAR('Libro Diario'!$C$10:$C$5000)=E5)*('Libro Diario'!$H$10:$H$5000))))</f>
        <v>0</v>
      </c>
      <c r="L100" s="1" t="n">
        <f aca="false">((SUMPRODUCT(('Libro Diario'!$A$10:$A$5000=B5)*('Libro Diario'!$E$10:$E$5000=2102001)*(YEAR('Libro Diario'!$C$10:$C$5000)=E5)*('Libro Diario'!$I$10:$I$5000))-SUMPRODUCT(('Libro Diario'!$A$10:$A$5000=B5)*('Libro Diario'!$E$10:$E$5000=2102001)*(YEAR('Libro Diario'!$C$10:$C$5000)=E5)*('Libro Diario'!$H$10:$H$5000)))+(SUMPRODUCT(('Libro Diario'!$A$10:$A$5000=B5)*('Libro Diario'!$E$10:$E$5000=2103001)*(YEAR('Libro Diario'!$C$10:$C$5000)=E5)*('Libro Diario'!$I$10:$I$5000))-SUMPRODUCT(('Libro Diario'!$A$10:$A$5000=B5)*('Libro Diario'!$E$10:$E$5000=2103001)*(YEAR('Libro Diario'!$C$10:$C$5000)=E5)*('Libro Diario'!$H$10:$H$5000)))+(SUMPRODUCT(('Libro Diario'!$A$10:$A$5000=B5)*('Libro Diario'!$E$10:$E$5000=2104001)*(YEAR('Libro Diario'!$C$10:$C$5000)=E5)*('Libro Diario'!$I$10:$I$5000))-SUMPRODUCT(('Libro Diario'!$A$10:$A$5000=B5)*('Libro Diario'!$E$10:$E$5000=2104001)*(YEAR('Libro Diario'!$C$10:$C$5000)=E5)*('Libro Diario'!$H$10:$H$5000)))+(SUMPRODUCT(('Libro Diario'!$A$10:$A$5000=B5)*('Libro Diario'!$E$10:$E$5000=2105101)*(YEAR('Libro Diario'!$C$10:$C$5000)=E5)*('Libro Diario'!$I$10:$I$5000))-SUMPRODUCT(('Libro Diario'!$A$10:$A$5000=B5)*('Libro Diario'!$E$10:$E$5000=2105101)*(YEAR('Libro Diario'!$C$10:$C$5000)=E5)*('Libro Diario'!$H$10:$H$5000)))+(SUMPRODUCT(('Libro Diario'!$A$10:$A$5000=B5)*('Libro Diario'!$E$10:$E$5000=2105005)*(YEAR('Libro Diario'!$C$10:$C$5000)=E5)*('Libro Diario'!$I$10:$I$5000))-SUMPRODUCT(('Libro Diario'!$A$10:$A$5000=B5)*('Libro Diario'!$E$10:$E$5000=2105005)*(YEAR('Libro Diario'!$C$10:$C$5000)=E5)*('Libro Diario'!$H$10:$H$5000)))+(SUMPRODUCT(('Libro Diario'!$A$10:$A$5000=B5)*('Libro Diario'!$E$10:$E$5000=2106001)*(YEAR('Libro Diario'!$C$10:$C$5000)=E5)*('Libro Diario'!$I$10:$I$5000))-SUMPRODUCT(('Libro Diario'!$A$10:$A$5000=B5)*('Libro Diario'!$E$10:$E$5000=2106001)*(YEAR('Libro Diario'!$C$10:$C$5000)=E5)*('Libro Diario'!$H$10:$H$5000)))+(SUMPRODUCT(('Libro Diario'!$A$10:$A$5000=B5)*('Libro Diario'!$E$10:$E$5000=2107001)*(YEAR('Libro Diario'!$C$10:$C$5000)=E5)*('Libro Diario'!$I$10:$I$5000))-SUMPRODUCT(('Libro Diario'!$A$10:$A$5000=B5)*('Libro Diario'!$E$10:$E$5000=2107001)*(YEAR('Libro Diario'!$C$10:$C$5000)=E5)*('Libro Diario'!$H$10:$H$5000)))+(SUMPRODUCT(('Libro Diario'!$A$10:$A$5000=B5)*('Libro Diario'!$E$10:$E$5000=2108001)*(YEAR('Libro Diario'!$C$10:$C$5000)=E5)*('Libro Diario'!$I$10:$I$5000))-SUMPRODUCT(('Libro Diario'!$A$10:$A$5000=B5)*('Libro Diario'!$E$10:$E$5000=2108001)*(YEAR('Libro Diario'!$C$10:$C$5000)=E5)*('Libro Diario'!$H$10:$H$5000)))+(SUMPRODUCT(('Libro Diario'!$A$10:$A$5000=B5)*('Libro Diario'!$E$10:$E$5000=2201001)*(YEAR('Libro Diario'!$C$10:$C$5000)=E5)*('Libro Diario'!$I$10:$I$5000))-SUMPRODUCT(('Libro Diario'!$A$10:$A$5000=B5)*('Libro Diario'!$E$10:$E$5000=2201001)*(YEAR('Libro Diario'!$C$10:$C$5000)=E5)*('Libro Diario'!$H$10:$H$5000)))+(SUMPRODUCT(('Libro Diario'!$A$10:$A$5000=B5)*('Libro Diario'!$E$10:$E$5000=2201002)*(YEAR('Libro Diario'!$C$10:$C$5000)=E5)*('Libro Diario'!$I$10:$I$5000))-SUMPRODUCT(('Libro Diario'!$A$10:$A$5000=B5)*('Libro Diario'!$E$10:$E$5000=2201002)*(YEAR('Libro Diario'!$C$10:$C$5000)=E5)*('Libro Diario'!$H$10:$H$5000))))</f>
        <v>0</v>
      </c>
      <c r="M100" s="1" t="n">
        <f aca="false">((SUMPRODUCT(('Libro Diario'!$A$10:$A$5000=B5)*('Libro Diario'!$E$10:$E$5000=2301001)*(YEAR('Libro Diario'!$C$10:$C$5000)=E5)*('Libro Diario'!$I$10:$I$5000))-SUMPRODUCT(('Libro Diario'!$A$10:$A$5000=B5)*('Libro Diario'!$E$10:$E$5000=2301001)*(YEAR('Libro Diario'!$C$10:$C$5000)=E5)*('Libro Diario'!$H$10:$H$5000)))+(SUMPRODUCT(('Libro Diario'!$A$10:$A$5000=B5)*('Libro Diario'!$E$10:$E$5000=2302001)*(YEAR('Libro Diario'!$C$10:$C$5000)=E5)*('Libro Diario'!$I$10:$I$5000))-SUMPRODUCT(('Libro Diario'!$A$10:$A$5000=B5)*('Libro Diario'!$E$10:$E$5000=2302001)*(YEAR('Libro Diario'!$C$10:$C$5000)=E5)*('Libro Diario'!$H$10:$H$5000)))+(SUMPRODUCT(('Libro Diario'!$A$10:$A$5000=B5)*('Libro Diario'!$E$10:$E$5000=2302101)*(YEAR('Libro Diario'!$C$10:$C$5000)=E5)*('Libro Diario'!$I$10:$I$5000))-SUMPRODUCT(('Libro Diario'!$A$10:$A$5000=B5)*('Libro Diario'!$E$10:$E$5000=2302101)*(YEAR('Libro Diario'!$C$10:$C$5000)=E5)*('Libro Diario'!$H$10:$H$5000))))</f>
        <v>0</v>
      </c>
      <c r="N100" s="1" t="n">
        <f aca="false">((SUMPRODUCT(('Libro Diario'!$A$10:$A$5000=B5)*('Libro Diario'!$E$10:$E$5000=4101001)*(YEAR('Libro Diario'!$C$10:$C$5000)=E5)*('Libro Diario'!$I$10:$I$5000))-SUMPRODUCT(('Libro Diario'!$A$10:$A$5000=B5)*('Libro Diario'!$E$10:$E$5000=4101001)*(YEAR('Libro Diario'!$C$10:$C$5000)=E5)*('Libro Diario'!$H$10:$H$5000)))+(SUMPRODUCT(('Libro Diario'!$A$10:$A$5000=B5)*('Libro Diario'!$E$10:$E$5000=4101002)*(YEAR('Libro Diario'!$C$10:$C$5000)=E5)*('Libro Diario'!$I$10:$I$5000))-SUMPRODUCT(('Libro Diario'!$A$10:$A$5000=B5)*('Libro Diario'!$E$10:$E$5000=4101002)*(YEAR('Libro Diario'!$C$10:$C$5000)=E5)*('Libro Diario'!$H$10:$H$5000)))+(SUMPRODUCT(('Libro Diario'!$A$10:$A$5000=B5)*('Libro Diario'!$E$10:$E$5000=4101003)*(YEAR('Libro Diario'!$C$10:$C$5000)=E5)*('Libro Diario'!$I$10:$I$5000))-SUMPRODUCT(('Libro Diario'!$A$10:$A$5000=B5)*('Libro Diario'!$E$10:$E$5000=4101003)*(YEAR('Libro Diario'!$C$10:$C$5000)=E5)*('Libro Diario'!$H$10:$H$5000)))+(SUMPRODUCT(('Libro Diario'!$A$10:$A$5000=B5)*('Libro Diario'!$E$10:$E$5000=4201001)*(YEAR('Libro Diario'!$C$10:$C$5000)=E5)*('Libro Diario'!$I$10:$I$5000))-SUMPRODUCT(('Libro Diario'!$A$10:$A$5000=B5)*('Libro Diario'!$E$10:$E$5000=4201001)*(YEAR('Libro Diario'!$C$10:$C$5000)=E5)*('Libro Diario'!$H$10:$H$5000)))+(SUMPRODUCT(('Libro Diario'!$A$10:$A$5000=B5)*('Libro Diario'!$E$10:$E$5000=4201101)*(YEAR('Libro Diario'!$C$10:$C$5000)=E5)*('Libro Diario'!$I$10:$I$5000))-SUMPRODUCT(('Libro Diario'!$A$10:$A$5000=B5)*('Libro Diario'!$E$10:$E$5000=4201101)*(YEAR('Libro Diario'!$C$10:$C$5000)=E5)*('Libro Diario'!$H$10:$H$5000)))+(SUMPRODUCT(('Libro Diario'!$A$10:$A$5000=B5)*('Libro Diario'!$E$10:$E$5000=4201102)*(YEAR('Libro Diario'!$C$10:$C$5000)=E5)*('Libro Diario'!$I$10:$I$5000))-SUMPRODUCT(('Libro Diario'!$A$10:$A$5000=B5)*('Libro Diario'!$E$10:$E$5000=4201102)*(YEAR('Libro Diario'!$C$10:$C$5000)=E5)*('Libro Diario'!$H$10:$H$5000))))</f>
        <v>0</v>
      </c>
      <c r="O100" s="1" t="n">
        <f aca="false">((SUMPRODUCT(('Libro Diario'!$A$10:$A$5000=B5)*('Libro Diario'!$E$10:$E$5000=3101001)*(YEAR('Libro Diario'!$C$10:$C$5000)=E5)*('Libro Diario'!$H$10:$H$5000))-SUMPRODUCT(('Libro Diario'!$A$10:$A$5000=B5)*('Libro Diario'!$E$10:$E$5000=3101001)*(YEAR('Libro Diario'!$C$10:$C$5000)=E5)*('Libro Diario'!$I$10:$I$5000)))+(SUMPRODUCT(('Libro Diario'!$A$10:$A$5000=B5)*('Libro Diario'!$E$10:$E$5000=3103001)*(YEAR('Libro Diario'!$C$10:$C$5000)=E5)*('Libro Diario'!$H$10:$H$5000))-SUMPRODUCT(('Libro Diario'!$A$10:$A$5000=B5)*('Libro Diario'!$E$10:$E$5000=3103001)*(YEAR('Libro Diario'!$C$10:$C$5000)=E5)*('Libro Diario'!$I$10:$I$5000)))+(SUMPRODUCT(('Libro Diario'!$A$10:$A$5000=B5)*('Libro Diario'!$E$10:$E$5000=3103002)*(YEAR('Libro Diario'!$C$10:$C$5000)=E5)*('Libro Diario'!$H$10:$H$5000))-SUMPRODUCT(('Libro Diario'!$A$10:$A$5000=B5)*('Libro Diario'!$E$10:$E$5000=3103002)*(YEAR('Libro Diario'!$C$10:$C$5000)=E5)*('Libro Diario'!$I$10:$I$5000)))+(SUMPRODUCT(('Libro Diario'!$A$10:$A$5000=B5)*('Libro Diario'!$E$10:$E$5000=3103003)*(YEAR('Libro Diario'!$C$10:$C$5000)=E5)*('Libro Diario'!$H$10:$H$5000))-SUMPRODUCT(('Libro Diario'!$A$10:$A$5000=B5)*('Libro Diario'!$E$10:$E$5000=3103003)*(YEAR('Libro Diario'!$C$10:$C$5000)=E5)*('Libro Diario'!$I$10:$I$5000)))+(SUMPRODUCT(('Libro Diario'!$A$10:$A$5000=B5)*('Libro Diario'!$E$10:$E$5000=3103007)*(YEAR('Libro Diario'!$C$10:$C$5000)=E5)*('Libro Diario'!$H$10:$H$5000))-SUMPRODUCT(('Libro Diario'!$A$10:$A$5000=B5)*('Libro Diario'!$E$10:$E$5000=3103007)*(YEAR('Libro Diario'!$C$10:$C$5000)=E5)*('Libro Diario'!$I$10:$I$5000)))+(SUMPRODUCT(('Libro Diario'!$A$10:$A$5000=B5)*('Libro Diario'!$E$10:$E$5000=3201001)*(YEAR('Libro Diario'!$C$10:$C$5000)=E5)*('Libro Diario'!$H$10:$H$5000))-SUMPRODUCT(('Libro Diario'!$A$10:$A$5000=B5)*('Libro Diario'!$E$10:$E$5000=3201001)*(YEAR('Libro Diario'!$C$10:$C$5000)=E5)*('Libro Diario'!$I$10:$I$5000)))+(SUMPRODUCT(('Libro Diario'!$A$10:$A$5000=B5)*('Libro Diario'!$E$10:$E$5000=3201401)*(YEAR('Libro Diario'!$C$10:$C$5000)=E5)*('Libro Diario'!$H$10:$H$5000))-SUMPRODUCT(('Libro Diario'!$A$10:$A$5000=B5)*('Libro Diario'!$E$10:$E$5000=3201401)*(YEAR('Libro Diario'!$C$10:$C$5000)=E5)*('Libro Diario'!$I$10:$I$5000)))+(SUMPRODUCT(('Libro Diario'!$A$10:$A$5000=B5)*('Libro Diario'!$E$10:$E$5000=3201402)*(YEAR('Libro Diario'!$C$10:$C$5000)=E5)*('Libro Diario'!$H$10:$H$5000))-SUMPRODUCT(('Libro Diario'!$A$10:$A$5000=B5)*('Libro Diario'!$E$10:$E$5000=3201402)*(YEAR('Libro Diario'!$C$10:$C$5000)=E5)*('Libro Diario'!$I$10:$I$5000))))</f>
        <v>0</v>
      </c>
      <c r="P100" s="1" t="n">
        <f aca="false">((SUMPRODUCT(('Libro Diario'!$A$10:$A$5000=B5)*('Libro Diario'!$E$10:$E$5000=1101001)*(YEAR('Libro Diario'!$C$10:$C$5000)=E5)*('Libro Diario'!$H$10:$H$5000))-SUMPRODUCT(('Libro Diario'!$A$10:$A$5000=B5)*('Libro Diario'!$E$10:$E$5000=1101001)*(YEAR('Libro Diario'!$C$10:$C$5000)=E5)*('Libro Diario'!$I$10:$I$5000)))+(SUMPRODUCT(('Libro Diario'!$A$10:$A$5000=B5)*('Libro Diario'!$E$10:$E$5000=1101002)*(YEAR('Libro Diario'!$C$10:$C$5000)=E5)*('Libro Diario'!$H$10:$H$5000))-SUMPRODUCT(('Libro Diario'!$A$10:$A$5000=B5)*('Libro Diario'!$E$10:$E$5000=1101002)*(YEAR('Libro Diario'!$C$10:$C$5000)=E5)*('Libro Diario'!$I$10:$I$5000))))</f>
        <v>0</v>
      </c>
      <c r="Q100" s="1" t="n">
        <f aca="false">((SUMPRODUCT(('Libro Diario'!$A$10:$A$5000=B5)*('Libro Diario'!$E$10:$E$5000=1108001)*(YEAR('Libro Diario'!$C$10:$C$5000)=E5)*('Libro Diario'!$H$10:$H$5000))-SUMPRODUCT(('Libro Diario'!$A$10:$A$5000=B5)*('Libro Diario'!$E$10:$E$5000=1108001)*(YEAR('Libro Diario'!$C$10:$C$5000)=E5)*('Libro Diario'!$I$10:$I$5000)))+(SUMPRODUCT(('Libro Diario'!$A$10:$A$5000=B5)*('Libro Diario'!$E$10:$E$5000=1108002)*(YEAR('Libro Diario'!$C$10:$C$5000)=E5)*('Libro Diario'!$H$10:$H$5000))-SUMPRODUCT(('Libro Diario'!$A$10:$A$5000=B5)*('Libro Diario'!$E$10:$E$5000=1108002)*(YEAR('Libro Diario'!$C$10:$C$5000)=E5)*('Libro Diario'!$I$10:$I$5000))))</f>
        <v>0</v>
      </c>
      <c r="R100" s="1" t="n">
        <f aca="false">SUMPRODUCT(('Libro Diario'!$A$10:$A$5000=B5)*('Libro Diario'!$E$10:$E$5000=3201001)*(YEAR('Libro Diario'!$C$10:$C$5000)=E5)*('Libro Diario'!$H$10:$H$5000))</f>
        <v>0</v>
      </c>
    </row>
  </sheetData>
  <mergeCells count="13">
    <mergeCell ref="A1:K1"/>
    <mergeCell ref="A3:G3"/>
    <mergeCell ref="B5:C5"/>
    <mergeCell ref="A8:G8"/>
    <mergeCell ref="A9:G9"/>
    <mergeCell ref="A14:G14"/>
    <mergeCell ref="A15:G15"/>
    <mergeCell ref="A21:G21"/>
    <mergeCell ref="A22:G22"/>
    <mergeCell ref="A28:G28"/>
    <mergeCell ref="A29:G29"/>
    <mergeCell ref="A34:G34"/>
    <mergeCell ref="A35:G35"/>
  </mergeCells>
  <dataValidations count="1">
    <dataValidation allowBlank="true" errorStyle="stop" operator="between" showDropDown="false" showErrorMessage="fals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97B"/>
    <pageSetUpPr fitToPage="false"/>
  </sheetPr>
  <dimension ref="B1:Q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16" min="3" style="1" width="11"/>
  </cols>
  <sheetData>
    <row r="1" customFormat="false" ht="45" hidden="false" customHeight="true" outlineLevel="0" collapsed="false">
      <c r="B1" s="197" t="s">
        <v>870</v>
      </c>
      <c r="C1" s="197"/>
      <c r="D1" s="197"/>
      <c r="E1" s="197"/>
      <c r="F1" s="197"/>
      <c r="G1" s="197"/>
      <c r="H1" s="197"/>
      <c r="I1" s="197"/>
    </row>
    <row r="2" customFormat="false" ht="21.75" hidden="false" customHeight="true" outlineLevel="0" collapsed="false">
      <c r="B2" s="198" t="s">
        <v>871</v>
      </c>
      <c r="C2" s="198"/>
      <c r="D2" s="198"/>
      <c r="E2" s="198"/>
      <c r="F2" s="198"/>
      <c r="G2" s="198"/>
      <c r="H2" s="198"/>
      <c r="I2" s="198"/>
    </row>
    <row r="3" customFormat="false" ht="19.5" hidden="false" customHeight="true" outlineLevel="0" collapsed="false">
      <c r="B3" s="199" t="s">
        <v>547</v>
      </c>
      <c r="C3" s="199"/>
    </row>
    <row r="4" customFormat="false" ht="18" hidden="false" customHeight="true" outlineLevel="0" collapsed="false">
      <c r="B4" s="200" t="s">
        <v>418</v>
      </c>
      <c r="C4" s="201" t="s">
        <v>872</v>
      </c>
      <c r="D4" s="201"/>
      <c r="F4" s="200" t="s">
        <v>795</v>
      </c>
      <c r="G4" s="200" t="s">
        <v>873</v>
      </c>
      <c r="H4" s="202" t="s">
        <v>874</v>
      </c>
    </row>
    <row r="5" customFormat="false" ht="21.75" hidden="false" customHeight="true" outlineLevel="0" collapsed="false">
      <c r="B5" s="203" t="s">
        <v>398</v>
      </c>
      <c r="F5" s="204" t="n">
        <v>2025</v>
      </c>
      <c r="G5" s="205" t="n">
        <f aca="false">$F$5-1</f>
        <v>2024</v>
      </c>
    </row>
    <row r="6" customFormat="false" ht="18" hidden="false" customHeight="true" outlineLevel="0" collapsed="false"/>
    <row r="7" customFormat="false" ht="21.75" hidden="false" customHeight="true" outlineLevel="0" collapsed="false">
      <c r="B7" s="206" t="s">
        <v>698</v>
      </c>
      <c r="C7" s="206" t="s">
        <v>875</v>
      </c>
      <c r="D7" s="206" t="s">
        <v>876</v>
      </c>
      <c r="E7" s="206"/>
      <c r="F7" s="206" t="s">
        <v>877</v>
      </c>
      <c r="G7" s="206" t="s">
        <v>878</v>
      </c>
      <c r="H7" s="206" t="s">
        <v>879</v>
      </c>
    </row>
    <row r="8" customFormat="false" ht="19.5" hidden="false" customHeight="true" outlineLevel="0" collapsed="false">
      <c r="B8" s="207" t="s">
        <v>880</v>
      </c>
      <c r="C8" s="207"/>
      <c r="D8" s="207"/>
      <c r="E8" s="207"/>
      <c r="F8" s="207"/>
      <c r="G8" s="207"/>
      <c r="H8" s="207"/>
    </row>
    <row r="9" customFormat="false" ht="18" hidden="false" customHeight="true" outlineLevel="0" collapsed="false">
      <c r="B9" s="208" t="s">
        <v>779</v>
      </c>
      <c r="C9" s="209" t="n">
        <f aca="false">(SUMPRODUCT(('Libro Diario'!$A$10:$A$5000=$B$5)*('Libro Diario'!$E$10:$E$5000=4101001)*(YEAR('Libro Diario'!$C$10:$C$5000)=$F$5)*('Libro Diario'!$I$10:$I$5000))+SUMPRODUCT(('Libro Diario'!$A$10:$A$5000=$B$5)*('Libro Diario'!$E$10:$E$5000=4101002)*(YEAR('Libro Diario'!$C$10:$C$5000)=$F$5)*('Libro Diario'!$I$10:$I$5000))+SUMPRODUCT(('Libro Diario'!$A$10:$A$5000=$B$5)*('Libro Diario'!$E$10:$E$5000=4101003)*(YEAR('Libro Diario'!$C$10:$C$5000)=$F$5)*('Libro Diario'!$I$10:$I$5000))+SUMPRODUCT(('Libro Diario'!$A$10:$A$5000=$B$5)*('Libro Diario'!$E$10:$E$5000=4201001)*(YEAR('Libro Diario'!$C$10:$C$5000)=$F$5)*('Libro Diario'!$I$10:$I$5000)))-(SUMPRODUCT(('Libro Diario'!$A$10:$A$5000=$B$5)*('Libro Diario'!$E$10:$E$5000=3101001)*(YEAR('Libro Diario'!$C$10:$C$5000)=$F$5)*('Libro Diario'!$H$10:$H$5000))+SUMPRODUCT(('Libro Diario'!$A$10:$A$5000=$B$5)*('Libro Diario'!$E$10:$E$5000=3103001)*(YEAR('Libro Diario'!$C$10:$C$5000)=$F$5)*('Libro Diario'!$H$10:$H$5000))+SUMPRODUCT(('Libro Diario'!$A$10:$A$5000=$B$5)*('Libro Diario'!$E$10:$E$5000=3103002)*(YEAR('Libro Diario'!$C$10:$C$5000)=$F$5)*('Libro Diario'!$H$10:$H$5000))+SUMPRODUCT(('Libro Diario'!$A$10:$A$5000=$B$5)*('Libro Diario'!$E$10:$E$5000=3103003)*(YEAR('Libro Diario'!$C$10:$C$5000)=$F$5)*('Libro Diario'!$H$10:$H$5000))+SUMPRODUCT(('Libro Diario'!$A$10:$A$5000=$B$5)*('Libro Diario'!$E$10:$E$5000=3103004)*(YEAR('Libro Diario'!$C$10:$C$5000)=$F$5)*('Libro Diario'!$H$10:$H$5000))+SUMPRODUCT(('Libro Diario'!$A$10:$A$5000=$B$5)*('Libro Diario'!$E$10:$E$5000=3103005)*(YEAR('Libro Diario'!$C$10:$C$5000)=$F$5)*('Libro Diario'!$H$10:$H$5000))+SUMPRODUCT(('Libro Diario'!$A$10:$A$5000=$B$5)*('Libro Diario'!$E$10:$E$5000=3103006)*(YEAR('Libro Diario'!$C$10:$C$5000)=$F$5)*('Libro Diario'!$H$10:$H$5000))+SUMPRODUCT(('Libro Diario'!$A$10:$A$5000=$B$5)*('Libro Diario'!$E$10:$E$5000=3103007)*(YEAR('Libro Diario'!$C$10:$C$5000)=$F$5)*('Libro Diario'!$H$10:$H$5000))+SUMPRODUCT(('Libro Diario'!$A$10:$A$5000=$B$5)*('Libro Diario'!$E$10:$E$5000=3103008)*(YEAR('Libro Diario'!$C$10:$C$5000)=$F$5)*('Libro Diario'!$H$10:$H$5000))+SUMPRODUCT(('Libro Diario'!$A$10:$A$5000=$B$5)*('Libro Diario'!$E$10:$E$5000=3103009)*(YEAR('Libro Diario'!$C$10:$C$5000)=$F$5)*('Libro Diario'!$H$10:$H$5000))+SUMPRODUCT(('Libro Diario'!$A$10:$A$5000=$B$5)*('Libro Diario'!$E$10:$E$5000=3103010)*(YEAR('Libro Diario'!$C$10:$C$5000)=$F$5)*('Libro Diario'!$H$10:$H$5000))+SUMPRODUCT(('Libro Diario'!$A$10:$A$5000=$B$5)*('Libro Diario'!$E$10:$E$5000=3201001)*(YEAR('Libro Diario'!$C$10:$C$5000)=$F$5)*('Libro Diario'!$H$10:$H$5000)))</f>
        <v>0</v>
      </c>
      <c r="D9" s="210" t="n">
        <f aca="false">(SUMPRODUCT(('Libro Diario'!$A$10:$A$5000=$B$5)*('Libro Diario'!$E$10:$E$5000=4101001)*(YEAR('Libro Diario'!$C$10:$C$5000)=$G$5)*('Libro Diario'!$I$10:$I$5000))+SUMPRODUCT(('Libro Diario'!$A$10:$A$5000=$B$5)*('Libro Diario'!$E$10:$E$5000=4101002)*(YEAR('Libro Diario'!$C$10:$C$5000)=$G$5)*('Libro Diario'!$I$10:$I$5000))+SUMPRODUCT(('Libro Diario'!$A$10:$A$5000=$B$5)*('Libro Diario'!$E$10:$E$5000=4101003)*(YEAR('Libro Diario'!$C$10:$C$5000)=$G$5)*('Libro Diario'!$I$10:$I$5000))+SUMPRODUCT(('Libro Diario'!$A$10:$A$5000=$B$5)*('Libro Diario'!$E$10:$E$5000=4201001)*(YEAR('Libro Diario'!$C$10:$C$5000)=$G$5)*('Libro Diario'!$I$10:$I$5000)))-(SUMPRODUCT(('Libro Diario'!$A$10:$A$5000=$B$5)*('Libro Diario'!$E$10:$E$5000=3101001)*(YEAR('Libro Diario'!$C$10:$C$5000)=$G$5)*('Libro Diario'!$H$10:$H$5000))+SUMPRODUCT(('Libro Diario'!$A$10:$A$5000=$B$5)*('Libro Diario'!$E$10:$E$5000=3103001)*(YEAR('Libro Diario'!$C$10:$C$5000)=$G$5)*('Libro Diario'!$H$10:$H$5000))+SUMPRODUCT(('Libro Diario'!$A$10:$A$5000=$B$5)*('Libro Diario'!$E$10:$E$5000=3103002)*(YEAR('Libro Diario'!$C$10:$C$5000)=$G$5)*('Libro Diario'!$H$10:$H$5000))+SUMPRODUCT(('Libro Diario'!$A$10:$A$5000=$B$5)*('Libro Diario'!$E$10:$E$5000=3103003)*(YEAR('Libro Diario'!$C$10:$C$5000)=$G$5)*('Libro Diario'!$H$10:$H$5000))+SUMPRODUCT(('Libro Diario'!$A$10:$A$5000=$B$5)*('Libro Diario'!$E$10:$E$5000=3103004)*(YEAR('Libro Diario'!$C$10:$C$5000)=$G$5)*('Libro Diario'!$H$10:$H$5000))+SUMPRODUCT(('Libro Diario'!$A$10:$A$5000=$B$5)*('Libro Diario'!$E$10:$E$5000=3103005)*(YEAR('Libro Diario'!$C$10:$C$5000)=$G$5)*('Libro Diario'!$H$10:$H$5000))+SUMPRODUCT(('Libro Diario'!$A$10:$A$5000=$B$5)*('Libro Diario'!$E$10:$E$5000=3103006)*(YEAR('Libro Diario'!$C$10:$C$5000)=$G$5)*('Libro Diario'!$H$10:$H$5000))+SUMPRODUCT(('Libro Diario'!$A$10:$A$5000=$B$5)*('Libro Diario'!$E$10:$E$5000=3103007)*(YEAR('Libro Diario'!$C$10:$C$5000)=$G$5)*('Libro Diario'!$H$10:$H$5000))+SUMPRODUCT(('Libro Diario'!$A$10:$A$5000=$B$5)*('Libro Diario'!$E$10:$E$5000=3103008)*(YEAR('Libro Diario'!$C$10:$C$5000)=$G$5)*('Libro Diario'!$H$10:$H$5000))+SUMPRODUCT(('Libro Diario'!$A$10:$A$5000=$B$5)*('Libro Diario'!$E$10:$E$5000=3103009)*(YEAR('Libro Diario'!$C$10:$C$5000)=$G$5)*('Libro Diario'!$H$10:$H$5000))+SUMPRODUCT(('Libro Diario'!$A$10:$A$5000=$B$5)*('Libro Diario'!$E$10:$E$5000=3103010)*(YEAR('Libro Diario'!$C$10:$C$5000)=$G$5)*('Libro Diario'!$H$10:$H$5000))+SUMPRODUCT(('Libro Diario'!$A$10:$A$5000=$B$5)*('Libro Diario'!$E$10:$E$5000=3201001)*(YEAR('Libro Diario'!$C$10:$C$5000)=$G$5)*('Libro Diario'!$H$10:$H$5000)))</f>
        <v>0</v>
      </c>
      <c r="E9" s="38"/>
      <c r="F9" s="211" t="n">
        <f aca="false">C9-D9</f>
        <v>0</v>
      </c>
      <c r="G9" s="212" t="str">
        <f aca="false">IF(D9&lt;&gt;0,(C9-D9)/ABS(D9),"")</f>
        <v/>
      </c>
      <c r="H9" s="213" t="s">
        <v>881</v>
      </c>
      <c r="I9" s="38"/>
    </row>
    <row r="10" customFormat="false" ht="18" hidden="false" customHeight="true" outlineLevel="0" collapsed="false">
      <c r="B10" s="214" t="s">
        <v>882</v>
      </c>
      <c r="C10" s="214"/>
      <c r="D10" s="215"/>
      <c r="E10" s="215"/>
      <c r="F10" s="215"/>
      <c r="G10" s="215"/>
      <c r="H10" s="215"/>
      <c r="I10" s="215"/>
    </row>
    <row r="11" customFormat="false" ht="18" hidden="false" customHeight="true" outlineLevel="0" collapsed="false">
      <c r="B11" s="216" t="s">
        <v>883</v>
      </c>
      <c r="C11" s="217" t="n">
        <f aca="false">SUMPRODUCT(('Libro Diario'!$A$10:$A$5000=$B$5)*('Libro Diario'!$E$10:$E$5000=1201002)*(YEAR('Libro Diario'!$C$10:$C$5000)=$F$5)*('Libro Diario'!$I$10:$I$5000))</f>
        <v>0</v>
      </c>
      <c r="D11" s="218" t="n">
        <f aca="false">SUMPRODUCT(('Libro Diario'!$A$10:$A$5000=$B$5)*('Libro Diario'!$E$10:$E$5000=1201002)*(YEAR('Libro Diario'!$C$10:$C$5000)=$G$5)*('Libro Diario'!$I$10:$I$5000))</f>
        <v>0</v>
      </c>
      <c r="E11" s="38"/>
      <c r="F11" s="217" t="n">
        <f aca="false">IF(ISNUMBER(C11),C11-D11,"")</f>
        <v>0</v>
      </c>
      <c r="G11" s="219" t="str">
        <f aca="false">IF(AND(ISNUMBER(C11),ISNUMBER(D11),D11&lt;&gt;0),(C11-D11)/ABS(D11),"")</f>
        <v/>
      </c>
      <c r="H11" s="220" t="s">
        <v>884</v>
      </c>
      <c r="I11" s="38"/>
    </row>
    <row r="12" customFormat="false" ht="18" hidden="false" customHeight="true" outlineLevel="0" collapsed="false">
      <c r="B12" s="221" t="s">
        <v>885</v>
      </c>
      <c r="C12" s="222" t="n">
        <f aca="false">(SUMPRODUCT(('Libro Diario'!$A$10:$A$5000=$B$5)*('Libro Diario'!$E$10:$E$5000=1104001)*(YEAR('Libro Diario'!$C$10:$C$5000)=$F$5)*('Libro Diario'!$H$10:$H$5000)))-(SUMPRODUCT(('Libro Diario'!$A$10:$A$5000=$B$5)*('Libro Diario'!$E$10:$E$5000=1104001)*(YEAR('Libro Diario'!$C$10:$C$5000)=$F$5)*('Libro Diario'!$I$10:$I$5000)))-((SUMPRODUCT(('Libro Diario'!$A$10:$A$5000=$B$5)*('Libro Diario'!$E$10:$E$5000=1104001)*(YEAR('Libro Diario'!$C$10:$C$5000)=$G$5)*('Libro Diario'!$H$10:$H$5000)))-(SUMPRODUCT(('Libro Diario'!$A$10:$A$5000=$B$5)*('Libro Diario'!$E$10:$E$5000=1104001)*(YEAR('Libro Diario'!$C$10:$C$5000)=$G$5)*('Libro Diario'!$I$10:$I$5000))))</f>
        <v>0</v>
      </c>
      <c r="D12" s="223" t="n">
        <f aca="false">(SUMPRODUCT(('Libro Diario'!$A$10:$A$5000=$B$5)*('Libro Diario'!$E$10:$E$5000=1104001)*(YEAR('Libro Diario'!$C$10:$C$5000)=$G$5)*('Libro Diario'!$H$10:$H$5000)))-(SUMPRODUCT(('Libro Diario'!$A$10:$A$5000=$B$5)*('Libro Diario'!$E$10:$E$5000=1104001)*(YEAR('Libro Diario'!$C$10:$C$5000)=$G$5)*('Libro Diario'!$I$10:$I$5000)))</f>
        <v>0</v>
      </c>
      <c r="E12" s="215"/>
      <c r="F12" s="222" t="n">
        <f aca="false">IF(ISNUMBER(C12),C12-D12,"")</f>
        <v>0</v>
      </c>
      <c r="G12" s="224" t="str">
        <f aca="false">IF(AND(ISNUMBER(C12),ISNUMBER(D12),D12&lt;&gt;0),(C12-D12)/ABS(D12),"")</f>
        <v/>
      </c>
      <c r="H12" s="225" t="s">
        <v>886</v>
      </c>
      <c r="I12" s="215"/>
    </row>
    <row r="13" customFormat="false" ht="18" hidden="false" customHeight="true" outlineLevel="0" collapsed="false">
      <c r="B13" s="216" t="s">
        <v>887</v>
      </c>
      <c r="C13" s="217" t="n">
        <f aca="false">(SUMPRODUCT(('Libro Diario'!$A$10:$A$5000=$B$5)*('Libro Diario'!$E$10:$E$5000=1108001)*(YEAR('Libro Diario'!$C$10:$C$5000)=$F$5)*('Libro Diario'!$H$10:$H$5000))+SUMPRODUCT(('Libro Diario'!$A$10:$A$5000=$B$5)*('Libro Diario'!$E$10:$E$5000=1108002)*(YEAR('Libro Diario'!$C$10:$C$5000)=$F$5)*('Libro Diario'!$H$10:$H$5000)))-(SUMPRODUCT(('Libro Diario'!$A$10:$A$5000=$B$5)*('Libro Diario'!$E$10:$E$5000=1108001)*(YEAR('Libro Diario'!$C$10:$C$5000)=$F$5)*('Libro Diario'!$I$10:$I$5000))+SUMPRODUCT(('Libro Diario'!$A$10:$A$5000=$B$5)*('Libro Diario'!$E$10:$E$5000=1108002)*(YEAR('Libro Diario'!$C$10:$C$5000)=$F$5)*('Libro Diario'!$I$10:$I$5000)))-((SUMPRODUCT(('Libro Diario'!$A$10:$A$5000=$B$5)*('Libro Diario'!$E$10:$E$5000=1108001)*(YEAR('Libro Diario'!$C$10:$C$5000)=$G$5)*('Libro Diario'!$H$10:$H$5000))+SUMPRODUCT(('Libro Diario'!$A$10:$A$5000=$B$5)*('Libro Diario'!$E$10:$E$5000=1108002)*(YEAR('Libro Diario'!$C$10:$C$5000)=$G$5)*('Libro Diario'!$H$10:$H$5000)))-(SUMPRODUCT(('Libro Diario'!$A$10:$A$5000=$B$5)*('Libro Diario'!$E$10:$E$5000=1108001)*(YEAR('Libro Diario'!$C$10:$C$5000)=$G$5)*('Libro Diario'!$I$10:$I$5000))+SUMPRODUCT(('Libro Diario'!$A$10:$A$5000=$B$5)*('Libro Diario'!$E$10:$E$5000=1108002)*(YEAR('Libro Diario'!$C$10:$C$5000)=$G$5)*('Libro Diario'!$I$10:$I$5000))))</f>
        <v>0</v>
      </c>
      <c r="D13" s="218" t="s">
        <v>888</v>
      </c>
      <c r="E13" s="38"/>
      <c r="F13" s="217" t="n">
        <f aca="false">IF(ISNUMBER(C13),C13-D13,"")</f>
        <v>0</v>
      </c>
      <c r="G13" s="219" t="str">
        <f aca="false">IF(AND(ISNUMBER(C13),ISNUMBER(D13),D13&lt;&gt;0),(C13-D13)/ABS(D13),"")</f>
        <v/>
      </c>
      <c r="H13" s="220" t="s">
        <v>889</v>
      </c>
      <c r="I13" s="38"/>
    </row>
    <row r="14" customFormat="false" ht="18" hidden="false" customHeight="true" outlineLevel="0" collapsed="false">
      <c r="B14" s="221" t="s">
        <v>890</v>
      </c>
      <c r="C14" s="222" t="n">
        <f aca="false">(SUMPRODUCT(('Libro Diario'!$A$10:$A$5000=$B$5)*('Libro Diario'!$E$10:$E$5000=2102001)*(YEAR('Libro Diario'!$C$10:$C$5000)=$F$5)*('Libro Diario'!$I$10:$I$5000)))-(SUMPRODUCT(('Libro Diario'!$A$10:$A$5000=$B$5)*('Libro Diario'!$E$10:$E$5000=2102001)*(YEAR('Libro Diario'!$C$10:$C$5000)=$F$5)*('Libro Diario'!$H$10:$H$5000)))-((SUMPRODUCT(('Libro Diario'!$A$10:$A$5000=$B$5)*('Libro Diario'!$E$10:$E$5000=2102001)*(YEAR('Libro Diario'!$C$10:$C$5000)=$G$5)*('Libro Diario'!$I$10:$I$5000)))-(SUMPRODUCT(('Libro Diario'!$A$10:$A$5000=$B$5)*('Libro Diario'!$E$10:$E$5000=2102001)*(YEAR('Libro Diario'!$C$10:$C$5000)=$G$5)*('Libro Diario'!$H$10:$H$5000))))</f>
        <v>0</v>
      </c>
      <c r="D14" s="223" t="s">
        <v>888</v>
      </c>
      <c r="E14" s="215"/>
      <c r="F14" s="222" t="n">
        <f aca="false">IF(ISNUMBER(C14),C14-D14,"")</f>
        <v>0</v>
      </c>
      <c r="G14" s="224" t="str">
        <f aca="false">IF(AND(ISNUMBER(C14),ISNUMBER(D14),D14&lt;&gt;0),(C14-D14)/ABS(D14),"")</f>
        <v/>
      </c>
      <c r="H14" s="225" t="s">
        <v>891</v>
      </c>
      <c r="I14" s="215"/>
    </row>
    <row r="15" customFormat="false" ht="18" hidden="false" customHeight="true" outlineLevel="0" collapsed="false">
      <c r="B15" s="216" t="s">
        <v>892</v>
      </c>
      <c r="C15" s="217" t="n">
        <f aca="false">(SUMPRODUCT(('Libro Diario'!$A$10:$A$5000=$B$5)*('Libro Diario'!$E$10:$E$5000=2103001)*(YEAR('Libro Diario'!$C$10:$C$5000)=$F$5)*('Libro Diario'!$I$10:$I$5000)))-(SUMPRODUCT(('Libro Diario'!$A$10:$A$5000=$B$5)*('Libro Diario'!$E$10:$E$5000=2103001)*(YEAR('Libro Diario'!$C$10:$C$5000)=$F$5)*('Libro Diario'!$H$10:$H$5000)))-((SUMPRODUCT(('Libro Diario'!$A$10:$A$5000=$B$5)*('Libro Diario'!$E$10:$E$5000=2103001)*(YEAR('Libro Diario'!$C$10:$C$5000)=$G$5)*('Libro Diario'!$I$10:$I$5000)))-(SUMPRODUCT(('Libro Diario'!$A$10:$A$5000=$B$5)*('Libro Diario'!$E$10:$E$5000=2103001)*(YEAR('Libro Diario'!$C$10:$C$5000)=$G$5)*('Libro Diario'!$H$10:$H$5000))))</f>
        <v>0</v>
      </c>
      <c r="D15" s="218" t="s">
        <v>888</v>
      </c>
      <c r="E15" s="38"/>
      <c r="F15" s="217" t="n">
        <f aca="false">IF(ISNUMBER(C15),C15-D15,"")</f>
        <v>0</v>
      </c>
      <c r="G15" s="219" t="str">
        <f aca="false">IF(AND(ISNUMBER(C15),ISNUMBER(D15),D15&lt;&gt;0),(C15-D15)/ABS(D15),"")</f>
        <v/>
      </c>
      <c r="H15" s="220" t="s">
        <v>893</v>
      </c>
      <c r="I15" s="38"/>
    </row>
    <row r="16" customFormat="false" ht="18" hidden="false" customHeight="true" outlineLevel="0" collapsed="false">
      <c r="B16" s="221" t="s">
        <v>894</v>
      </c>
      <c r="C16" s="222" t="n">
        <f aca="false">((SUMPRODUCT(('Libro Diario'!$A$10:$A$5000=$B$5)*('Libro Diario'!$E$10:$E$5000=1107101)*(YEAR('Libro Diario'!$C$10:$C$5000)=$F$5)*('Libro Diario'!$H$10:$H$5000)))-(SUMPRODUCT(('Libro Diario'!$A$10:$A$5000=$B$5)*('Libro Diario'!$E$10:$E$5000=1107101)*(YEAR('Libro Diario'!$C$10:$C$5000)=$F$5)*('Libro Diario'!$I$10:$I$5000))))-((SUMPRODUCT(('Libro Diario'!$A$10:$A$5000=$B$5)*('Libro Diario'!$E$10:$E$5000=2105101)*(YEAR('Libro Diario'!$C$10:$C$5000)=$F$5)*('Libro Diario'!$I$10:$I$5000)))-(SUMPRODUCT(('Libro Diario'!$A$10:$A$5000=$B$5)*('Libro Diario'!$E$10:$E$5000=2105101)*(YEAR('Libro Diario'!$C$10:$C$5000)=$F$5)*('Libro Diario'!$H$10:$H$5000))))</f>
        <v>0</v>
      </c>
      <c r="D16" s="223" t="s">
        <v>888</v>
      </c>
      <c r="E16" s="215"/>
      <c r="F16" s="222" t="n">
        <f aca="false">IF(ISNUMBER(C16),C16-D16,"")</f>
        <v>0</v>
      </c>
      <c r="G16" s="224" t="str">
        <f aca="false">IF(AND(ISNUMBER(C16),ISNUMBER(D16),D16&lt;&gt;0),(C16-D16)/ABS(D16),"")</f>
        <v/>
      </c>
      <c r="H16" s="225" t="s">
        <v>895</v>
      </c>
      <c r="I16" s="215"/>
    </row>
    <row r="17" customFormat="false" ht="19.5" hidden="false" customHeight="true" outlineLevel="0" collapsed="false">
      <c r="B17" s="226" t="s">
        <v>896</v>
      </c>
      <c r="C17" s="227" t="n">
        <f aca="false">SUM(C9:C16)</f>
        <v>0</v>
      </c>
      <c r="D17" s="227" t="n">
        <f aca="false">SUM(D9:D16)</f>
        <v>0</v>
      </c>
      <c r="F17" s="227" t="n">
        <f aca="false">C17-D17</f>
        <v>0</v>
      </c>
      <c r="G17" s="228" t="str">
        <f aca="false">IF(D17&lt;&gt;0,(C17-D17)/ABS(D17),"")</f>
        <v/>
      </c>
    </row>
    <row r="18" customFormat="false" ht="19.5" hidden="false" customHeight="true" outlineLevel="0" collapsed="false">
      <c r="B18" s="207" t="s">
        <v>897</v>
      </c>
      <c r="C18" s="207"/>
      <c r="D18" s="207"/>
      <c r="E18" s="207"/>
      <c r="F18" s="207"/>
      <c r="G18" s="207"/>
      <c r="H18" s="207"/>
    </row>
    <row r="19" customFormat="false" ht="18" hidden="false" customHeight="true" outlineLevel="0" collapsed="false">
      <c r="B19" s="229" t="s">
        <v>898</v>
      </c>
      <c r="C19" s="230" t="n">
        <f aca="false">SUMPRODUCT(('Libro Diario'!$A$10:$A$5000=$B$5)*('Libro Diario'!$E$10:$E$5000=1201001)*(YEAR('Libro Diario'!$C$10:$C$5000)=$F$5)*('Libro Diario'!$H$10:$H$5000))</f>
        <v>0</v>
      </c>
      <c r="D19" s="231" t="n">
        <f aca="false">SUMPRODUCT(('Libro Diario'!$A$10:$A$5000=$B$5)*('Libro Diario'!$E$10:$E$5000=1201001)*(YEAR('Libro Diario'!$C$10:$C$5000)=$G$5)*('Libro Diario'!$H$10:$H$5000))</f>
        <v>0</v>
      </c>
      <c r="F19" s="230" t="n">
        <f aca="false">IF(ISNUMBER(C19),C19-D19,"")</f>
        <v>0</v>
      </c>
      <c r="G19" s="232" t="str">
        <f aca="false">IF(AND(ISNUMBER(C19),ISNUMBER(D19),D19&lt;&gt;0),(C19-D19)/ABS(D19),"")</f>
        <v/>
      </c>
      <c r="H19" s="233" t="s">
        <v>899</v>
      </c>
    </row>
    <row r="20" customFormat="false" ht="18" hidden="false" customHeight="true" outlineLevel="0" collapsed="false">
      <c r="B20" s="229" t="s">
        <v>900</v>
      </c>
      <c r="C20" s="230" t="n">
        <f aca="false">SUMPRODUCT(('Libro Diario'!$A$10:$A$5000=$B$5)*('Libro Diario'!$E$10:$E$5000=1201001)*(YEAR('Libro Diario'!$C$10:$C$5000)=$F$5)*('Libro Diario'!$I$10:$I$5000))</f>
        <v>0</v>
      </c>
      <c r="D20" s="231" t="n">
        <f aca="false">SUMPRODUCT(('Libro Diario'!$A$10:$A$5000=$B$5)*('Libro Diario'!$E$10:$E$5000=1201001)*(YEAR('Libro Diario'!$C$10:$C$5000)=$G$5)*('Libro Diario'!$I$10:$I$5000))</f>
        <v>0</v>
      </c>
      <c r="F20" s="230" t="n">
        <f aca="false">IF(ISNUMBER(C20),C20-D20,"")</f>
        <v>0</v>
      </c>
      <c r="G20" s="232" t="str">
        <f aca="false">IF(AND(ISNUMBER(C20),ISNUMBER(D20),D20&lt;&gt;0),(C20-D20)/ABS(D20),"")</f>
        <v/>
      </c>
      <c r="H20" s="233"/>
    </row>
    <row r="21" customFormat="false" ht="18" hidden="false" customHeight="true" outlineLevel="0" collapsed="false">
      <c r="B21" s="226" t="s">
        <v>901</v>
      </c>
      <c r="C21" s="227" t="n">
        <f aca="false">SUM(C19:C20)</f>
        <v>0</v>
      </c>
      <c r="D21" s="227" t="n">
        <f aca="false">SUM(D19:D20)</f>
        <v>0</v>
      </c>
      <c r="F21" s="227" t="n">
        <f aca="false">C21-D21</f>
        <v>0</v>
      </c>
      <c r="G21" s="228" t="str">
        <f aca="false">IF(D21&lt;&gt;0,(C21-D21)/ABS(D21),"")</f>
        <v/>
      </c>
    </row>
    <row r="22" customFormat="false" ht="19.5" hidden="false" customHeight="true" outlineLevel="0" collapsed="false">
      <c r="B22" s="207" t="s">
        <v>902</v>
      </c>
      <c r="C22" s="207"/>
      <c r="D22" s="207"/>
      <c r="E22" s="207"/>
      <c r="F22" s="207"/>
      <c r="G22" s="207"/>
      <c r="H22" s="207"/>
    </row>
    <row r="23" customFormat="false" ht="18" hidden="false" customHeight="true" outlineLevel="0" collapsed="false">
      <c r="B23" s="229" t="s">
        <v>903</v>
      </c>
      <c r="C23" s="230" t="n">
        <f aca="false">SUMPRODUCT(('Libro Diario'!$A$10:$A$5000=$B$5)*('Libro Diario'!$E$10:$E$5000=2201001)*(YEAR('Libro Diario'!$C$10:$C$5000)=$F$5)*('Libro Diario'!$I$10:$I$5000))+SUMPRODUCT(('Libro Diario'!$A$10:$A$5000=$B$5)*('Libro Diario'!$E$10:$E$5000=2201002)*(YEAR('Libro Diario'!$C$10:$C$5000)=$F$5)*('Libro Diario'!$I$10:$I$5000))</f>
        <v>0</v>
      </c>
      <c r="D23" s="231" t="n">
        <f aca="false">SUMPRODUCT(('Libro Diario'!$A$10:$A$5000=$B$5)*('Libro Diario'!$E$10:$E$5000=2201001)*(YEAR('Libro Diario'!$C$10:$C$5000)=$G$5)*('Libro Diario'!$I$10:$I$5000))+SUMPRODUCT(('Libro Diario'!$A$10:$A$5000=$B$5)*('Libro Diario'!$E$10:$E$5000=2201002)*(YEAR('Libro Diario'!$C$10:$C$5000)=$G$5)*('Libro Diario'!$I$10:$I$5000))</f>
        <v>0</v>
      </c>
      <c r="F23" s="230" t="n">
        <f aca="false">IF(ISNUMBER(C23),C23-D23,"")</f>
        <v>0</v>
      </c>
      <c r="G23" s="232" t="str">
        <f aca="false">IF(AND(ISNUMBER(C23),ISNUMBER(D23),D23&lt;&gt;0),(C23-D23)/ABS(D23),"")</f>
        <v/>
      </c>
      <c r="H23" s="233" t="s">
        <v>904</v>
      </c>
    </row>
    <row r="24" customFormat="false" ht="18" hidden="false" customHeight="true" outlineLevel="0" collapsed="false">
      <c r="B24" s="229" t="s">
        <v>905</v>
      </c>
      <c r="C24" s="230" t="n">
        <f aca="false">SUMPRODUCT(('Libro Diario'!$A$10:$A$5000=$B$5)*('Libro Diario'!$E$10:$E$5000=2201001)*(YEAR('Libro Diario'!$C$10:$C$5000)=$F$5)*('Libro Diario'!$H$10:$H$5000))+SUMPRODUCT(('Libro Diario'!$A$10:$A$5000=$B$5)*('Libro Diario'!$E$10:$E$5000=2201002)*(YEAR('Libro Diario'!$C$10:$C$5000)=$F$5)*('Libro Diario'!$H$10:$H$5000))</f>
        <v>0</v>
      </c>
      <c r="D24" s="231" t="n">
        <f aca="false">SUMPRODUCT(('Libro Diario'!$A$10:$A$5000=$B$5)*('Libro Diario'!$E$10:$E$5000=2201001)*(YEAR('Libro Diario'!$C$10:$C$5000)=$G$5)*('Libro Diario'!$H$10:$H$5000))+SUMPRODUCT(('Libro Diario'!$A$10:$A$5000=$B$5)*('Libro Diario'!$E$10:$E$5000=2201002)*(YEAR('Libro Diario'!$C$10:$C$5000)=$G$5)*('Libro Diario'!$H$10:$H$5000))</f>
        <v>0</v>
      </c>
      <c r="F24" s="230" t="n">
        <f aca="false">IF(ISNUMBER(C24),C24-D24,"")</f>
        <v>0</v>
      </c>
      <c r="G24" s="232" t="str">
        <f aca="false">IF(AND(ISNUMBER(C24),ISNUMBER(D24),D24&lt;&gt;0),(C24-D24)/ABS(D24),"")</f>
        <v/>
      </c>
      <c r="H24" s="233" t="s">
        <v>906</v>
      </c>
    </row>
    <row r="25" customFormat="false" ht="18" hidden="false" customHeight="true" outlineLevel="0" collapsed="false">
      <c r="B25" s="229" t="s">
        <v>907</v>
      </c>
      <c r="C25" s="230" t="n">
        <f aca="false">SUMPRODUCT(('Libro Diario'!$A$10:$A$5000=$B$5)*('Libro Diario'!$E$10:$E$5000=3201001)*(YEAR('Libro Diario'!$C$10:$C$5000)=$F$5)*('Libro Diario'!$H$10:$H$5000))</f>
        <v>0</v>
      </c>
      <c r="D25" s="231" t="n">
        <f aca="false">SUMPRODUCT(('Libro Diario'!$A$10:$A$5000=$B$5)*('Libro Diario'!$E$10:$E$5000=3201001)*(YEAR('Libro Diario'!$C$10:$C$5000)=$G$5)*('Libro Diario'!$H$10:$H$5000))</f>
        <v>0</v>
      </c>
      <c r="F25" s="230" t="n">
        <f aca="false">IF(ISNUMBER(C25),C25-D25,"")</f>
        <v>0</v>
      </c>
      <c r="G25" s="232" t="str">
        <f aca="false">IF(AND(ISNUMBER(C25),ISNUMBER(D25),D25&lt;&gt;0),(C25-D25)/ABS(D25),"")</f>
        <v/>
      </c>
      <c r="H25" s="233" t="s">
        <v>908</v>
      </c>
    </row>
    <row r="26" customFormat="false" ht="18" hidden="false" customHeight="true" outlineLevel="0" collapsed="false">
      <c r="B26" s="229" t="s">
        <v>909</v>
      </c>
      <c r="C26" s="230" t="n">
        <f aca="false">SUMPRODUCT(('Libro Diario'!$A$10:$A$5000=$B$5)*('Libro Diario'!$E$10:$E$5000=2301001)*(YEAR('Libro Diario'!$C$10:$C$5000)=$F$5)*('Libro Diario'!$I$10:$I$5000))-SUMPRODUCT(('Libro Diario'!$A$10:$A$5000=$B$5)*('Libro Diario'!$E$10:$E$5000=2301001)*(YEAR('Libro Diario'!$C$10:$C$5000)=$F$5)*('Libro Diario'!$H$10:$H$5000))</f>
        <v>0</v>
      </c>
      <c r="D26" s="231" t="n">
        <f aca="false">SUMPRODUCT(('Libro Diario'!$A$10:$A$5000=$B$5)*('Libro Diario'!$E$10:$E$5000=2301001)*(YEAR('Libro Diario'!$C$10:$C$5000)=$G$5)*('Libro Diario'!$I$10:$I$5000))-SUMPRODUCT(('Libro Diario'!$A$10:$A$5000=$B$5)*('Libro Diario'!$E$10:$E$5000=2301001)*(YEAR('Libro Diario'!$C$10:$C$5000)=$G$5)*('Libro Diario'!$H$10:$H$5000))</f>
        <v>0</v>
      </c>
      <c r="F26" s="230" t="n">
        <f aca="false">IF(ISNUMBER(C26),C26-D26,"")</f>
        <v>0</v>
      </c>
      <c r="G26" s="232" t="str">
        <f aca="false">IF(AND(ISNUMBER(C26),ISNUMBER(D26),D26&lt;&gt;0),(C26-D26)/ABS(D26),"")</f>
        <v/>
      </c>
      <c r="H26" s="233" t="s">
        <v>910</v>
      </c>
    </row>
    <row r="27" customFormat="false" ht="18" hidden="false" customHeight="true" outlineLevel="0" collapsed="false">
      <c r="B27" s="226" t="s">
        <v>911</v>
      </c>
      <c r="C27" s="227" t="n">
        <f aca="false">SUM(C23:C26)</f>
        <v>0</v>
      </c>
      <c r="D27" s="227" t="n">
        <f aca="false">SUM(D23:D26)</f>
        <v>0</v>
      </c>
      <c r="F27" s="227" t="n">
        <f aca="false">C27-D27</f>
        <v>0</v>
      </c>
      <c r="G27" s="228" t="str">
        <f aca="false">IF(D27&lt;&gt;0,(C27-D27)/ABS(D27),"")</f>
        <v/>
      </c>
    </row>
    <row r="28" customFormat="false" ht="18" hidden="false" customHeight="true" outlineLevel="0" collapsed="false"/>
    <row r="29" customFormat="false" ht="24" hidden="false" customHeight="true" outlineLevel="0" collapsed="false">
      <c r="B29" s="234" t="s">
        <v>912</v>
      </c>
      <c r="C29" s="235" t="n">
        <f aca="false">C17+C21+C27</f>
        <v>0</v>
      </c>
      <c r="D29" s="235" t="n">
        <f aca="false">D17+D21+D27</f>
        <v>0</v>
      </c>
      <c r="F29" s="235" t="n">
        <f aca="false">C29-D29</f>
        <v>0</v>
      </c>
      <c r="G29" s="236" t="str">
        <f aca="false">IF(D29&lt;&gt;0,(C29-D29)/ABS(D29),"")</f>
        <v/>
      </c>
    </row>
    <row r="30" customFormat="false" ht="18" hidden="false" customHeight="true" outlineLevel="0" collapsed="false">
      <c r="B30" s="237" t="s">
        <v>913</v>
      </c>
      <c r="C30" s="230" t="n">
        <f aca="false">SUMPRODUCT(('Libro Diario'!$A$10:$A$5000=$B$5)*('Libro Diario'!$E$10:$E$5000=1101001)*(YEAR('Libro Diario'!$C$10:$C$5000)=$G$5)*('Libro Diario'!$H$10:$H$5000))+SUMPRODUCT(('Libro Diario'!$A$10:$A$5000=$B$5)*('Libro Diario'!$E$10:$E$5000=1101002)*(YEAR('Libro Diario'!$C$10:$C$5000)=$G$5)*('Libro Diario'!$H$10:$H$5000))</f>
        <v>0</v>
      </c>
      <c r="D30" s="231" t="s">
        <v>888</v>
      </c>
      <c r="F30" s="230" t="n">
        <f aca="false">IF(ISNUMBER(C30),C30-D30,"")</f>
        <v>0</v>
      </c>
      <c r="G30" s="232" t="str">
        <f aca="false">IF(AND(ISNUMBER(C30),ISNUMBER(D30),D30&lt;&gt;0),(C30-D30)/ABS(D30),"")</f>
        <v/>
      </c>
      <c r="H30" s="233" t="s">
        <v>914</v>
      </c>
    </row>
    <row r="31" customFormat="false" ht="21.75" hidden="false" customHeight="true" outlineLevel="0" collapsed="false">
      <c r="B31" s="238" t="s">
        <v>915</v>
      </c>
      <c r="C31" s="239" t="n">
        <f aca="false">C29+C30</f>
        <v>0</v>
      </c>
      <c r="D31" s="239" t="str">
        <f aca="false">D30</f>
        <v>0</v>
      </c>
    </row>
    <row r="32" customFormat="false" ht="18" hidden="false" customHeight="true" outlineLevel="0" collapsed="false"/>
    <row r="33" customFormat="false" ht="19.5" hidden="false" customHeight="true" outlineLevel="0" collapsed="false">
      <c r="B33" s="240" t="s">
        <v>916</v>
      </c>
      <c r="C33" s="240"/>
      <c r="D33" s="240"/>
      <c r="E33" s="240"/>
      <c r="F33" s="240"/>
      <c r="G33" s="240"/>
      <c r="H33" s="240"/>
    </row>
    <row r="34" customFormat="false" ht="18" hidden="false" customHeight="true" outlineLevel="0" collapsed="false">
      <c r="B34" s="241" t="s">
        <v>797</v>
      </c>
      <c r="C34" s="241" t="s">
        <v>798</v>
      </c>
      <c r="D34" s="241" t="s">
        <v>799</v>
      </c>
      <c r="E34" s="242"/>
      <c r="F34" s="241" t="s">
        <v>800</v>
      </c>
      <c r="G34" s="241"/>
      <c r="H34" s="241" t="s">
        <v>917</v>
      </c>
      <c r="I34" s="241" t="s">
        <v>918</v>
      </c>
    </row>
    <row r="35" customFormat="false" ht="18" hidden="false" customHeight="true" outlineLevel="0" collapsed="false">
      <c r="B35" s="214" t="s">
        <v>919</v>
      </c>
      <c r="C35" s="214"/>
      <c r="D35" s="214"/>
      <c r="E35" s="214"/>
      <c r="F35" s="214"/>
      <c r="G35" s="214"/>
      <c r="H35" s="214"/>
    </row>
    <row r="36" customFormat="false" ht="30" hidden="false" customHeight="true" outlineLevel="0" collapsed="false">
      <c r="B36" s="237" t="s">
        <v>920</v>
      </c>
      <c r="C36" s="243" t="n">
        <f aca="false">IF($K$150&lt;&gt;0,$J$150/$K$150,0)</f>
        <v>0</v>
      </c>
      <c r="D36" s="244" t="str">
        <f aca="false">IF(C36&gt;=3,"🟢",IF(C36&gt;=1,"🟡","🔴"))</f>
        <v>🔴</v>
      </c>
      <c r="F36" s="245" t="s">
        <v>921</v>
      </c>
      <c r="H36" s="246" t="s">
        <v>922</v>
      </c>
    </row>
    <row r="37" customFormat="false" ht="12" hidden="false" customHeight="true" outlineLevel="0" collapsed="false">
      <c r="C37" s="247" t="s">
        <v>923</v>
      </c>
      <c r="D37" s="248" t="s">
        <v>924</v>
      </c>
    </row>
    <row r="38" customFormat="false" ht="30" hidden="false" customHeight="true" outlineLevel="0" collapsed="false">
      <c r="B38" s="237" t="s">
        <v>925</v>
      </c>
      <c r="C38" s="243" t="n">
        <f aca="false">IF($K$150&lt;&gt;0,$L$150/($K$150*12),0)</f>
        <v>0</v>
      </c>
      <c r="D38" s="244" t="str">
        <f aca="false">IF(C38&gt;=1.2,"🟢",IF(C38&gt;=1,"🟡","🔴"))</f>
        <v>🔴</v>
      </c>
      <c r="F38" s="245" t="s">
        <v>926</v>
      </c>
      <c r="H38" s="246" t="s">
        <v>927</v>
      </c>
    </row>
    <row r="39" customFormat="false" ht="12" hidden="false" customHeight="true" outlineLevel="0" collapsed="false">
      <c r="C39" s="247" t="s">
        <v>928</v>
      </c>
      <c r="D39" s="248" t="s">
        <v>929</v>
      </c>
    </row>
    <row r="40" customFormat="false" ht="18" hidden="false" customHeight="true" outlineLevel="0" collapsed="false">
      <c r="B40" s="214" t="s">
        <v>930</v>
      </c>
      <c r="C40" s="214"/>
      <c r="D40" s="214"/>
      <c r="E40" s="214"/>
      <c r="F40" s="214"/>
      <c r="G40" s="214"/>
      <c r="H40" s="214"/>
    </row>
    <row r="41" customFormat="false" ht="30" hidden="false" customHeight="true" outlineLevel="0" collapsed="false">
      <c r="B41" s="237" t="s">
        <v>931</v>
      </c>
      <c r="C41" s="249" t="n">
        <f aca="false">$K$150</f>
        <v>0</v>
      </c>
      <c r="D41" s="244" t="str">
        <f aca="false">IF($K$150&gt;0,IF($K$150/$L$150*12&lt;=0.85,"🟢",IF($K$150/$L$150*12&lt;=0.95,"🟡","🔴")),"🟢")</f>
        <v>🟢</v>
      </c>
      <c r="F41" s="245" t="s">
        <v>932</v>
      </c>
      <c r="H41" s="246" t="s">
        <v>933</v>
      </c>
    </row>
    <row r="42" customFormat="false" ht="12" hidden="false" customHeight="true" outlineLevel="0" collapsed="false">
      <c r="C42" s="247" t="s">
        <v>934</v>
      </c>
      <c r="D42" s="248" t="s">
        <v>935</v>
      </c>
    </row>
    <row r="43" customFormat="false" ht="30" hidden="false" customHeight="true" outlineLevel="0" collapsed="false">
      <c r="B43" s="237" t="s">
        <v>936</v>
      </c>
      <c r="C43" s="249" t="n">
        <f aca="false">IF($L$150&lt;&gt;0,($M$150-(SUMPRODUCT(('Libro Diario'!$A$10:$A$5000=$B$5)*('Libro Diario'!$E$10:$E$5000=3101001)*(YEAR('Libro Diario'!$C$10:$C$5000)=$F$5)*('Libro Diario'!$H$10:$H$5000))))/(1-(SUMPRODUCT(('Libro Diario'!$A$10:$A$5000=$B$5)*('Libro Diario'!$E$10:$E$5000=3101001)*(YEAR('Libro Diario'!$C$10:$C$5000)=$F$5)*('Libro Diario'!$H$10:$H$5000)))/$L$150),0)</f>
        <v>0</v>
      </c>
      <c r="D43" s="244" t="str">
        <f aca="false">IF($L$150&lt;&gt;0,IF($L$150&gt;=($M$150-(SUMPRODUCT(('Libro Diario'!$A$10:$A$5000=$B$5)*('Libro Diario'!$E$10:$E$5000=3101001)*(YEAR('Libro Diario'!$C$10:$C$5000)=$F$5)*('Libro Diario'!$H$10:$H$5000))))/(1-(SUMPRODUCT(('Libro Diario'!$A$10:$A$5000=$B$5)*('Libro Diario'!$E$10:$E$5000=3101001)*(YEAR('Libro Diario'!$C$10:$C$5000)=$F$5)*('Libro Diario'!$H$10:$H$5000)))/$L$150),"🟢","🔴"),"🟡")</f>
        <v>🟡</v>
      </c>
      <c r="F43" s="245" t="s">
        <v>937</v>
      </c>
      <c r="H43" s="246" t="s">
        <v>938</v>
      </c>
    </row>
    <row r="44" customFormat="false" ht="12" hidden="false" customHeight="true" outlineLevel="0" collapsed="false">
      <c r="C44" s="247" t="s">
        <v>939</v>
      </c>
      <c r="D44" s="248" t="s">
        <v>940</v>
      </c>
    </row>
    <row r="45" customFormat="false" ht="18" hidden="false" customHeight="true" outlineLevel="0" collapsed="false">
      <c r="B45" s="214" t="s">
        <v>941</v>
      </c>
      <c r="C45" s="214"/>
      <c r="D45" s="214"/>
      <c r="E45" s="214"/>
      <c r="F45" s="214"/>
      <c r="G45" s="214"/>
      <c r="H45" s="214"/>
    </row>
    <row r="46" customFormat="false" ht="30" hidden="false" customHeight="true" outlineLevel="0" collapsed="false">
      <c r="B46" s="237" t="s">
        <v>942</v>
      </c>
      <c r="C46" s="250" t="n">
        <f aca="false">IF($L$150&lt;&gt;0,($Q$150/$L$150)*365,0)</f>
        <v>0</v>
      </c>
      <c r="D46" s="244" t="str">
        <f aca="false">IF(C46&lt;=30,"🟢",IF(C46&lt;=60,"🟡","🔴"))</f>
        <v>🟢</v>
      </c>
      <c r="F46" s="245" t="s">
        <v>943</v>
      </c>
      <c r="H46" s="246" t="s">
        <v>944</v>
      </c>
    </row>
    <row r="47" customFormat="false" ht="12" hidden="false" customHeight="true" outlineLevel="0" collapsed="false">
      <c r="C47" s="247" t="s">
        <v>325</v>
      </c>
      <c r="D47" s="248" t="s">
        <v>945</v>
      </c>
    </row>
    <row r="48" customFormat="false" ht="30" hidden="false" customHeight="true" outlineLevel="0" collapsed="false">
      <c r="B48" s="237" t="s">
        <v>946</v>
      </c>
      <c r="C48" s="250" t="n">
        <f aca="false">IF(SUMPRODUCT(('Libro Diario'!$A$10:$A$5000=$B$5)*('Libro Diario'!$E$10:$E$5000=3101001)*(YEAR('Libro Diario'!$C$10:$C$5000)=$F$5)*('Libro Diario'!$H$10:$H$5000))&lt;&gt;0,((SUMPRODUCT(('Libro Diario'!$A$10:$A$5000=$B$5)*('Libro Diario'!$E$10:$E$5000=1108001)*(YEAR('Libro Diario'!$C$10:$C$5000)=$F$5)*('Libro Diario'!$H$10:$H$5000))-SUMPRODUCT(('Libro Diario'!$A$10:$A$5000=$B$5)*('Libro Diario'!$E$10:$E$5000=1108001)*(YEAR('Libro Diario'!$C$10:$C$5000)=$F$5)*('Libro Diario'!$I$10:$I$5000))+SUMPRODUCT(('Libro Diario'!$A$10:$A$5000=$B$5)*('Libro Diario'!$E$10:$E$5000=1108002)*(YEAR('Libro Diario'!$C$10:$C$5000)=$F$5)*('Libro Diario'!$H$10:$H$5000))-SUMPRODUCT(('Libro Diario'!$A$10:$A$5000=$B$5)*('Libro Diario'!$E$10:$E$5000=1108002)*(YEAR('Libro Diario'!$C$10:$C$5000)=$F$5)*('Libro Diario'!$I$10:$I$5000)))/SUMPRODUCT(('Libro Diario'!$A$10:$A$5000=$B$5)*('Libro Diario'!$E$10:$E$5000=3101001)*(YEAR('Libro Diario'!$C$10:$C$5000)=$F$5)*('Libro Diario'!$H$10:$H$5000)))*365,0)</f>
        <v>0</v>
      </c>
      <c r="D48" s="244" t="str">
        <f aca="false">IF(C48&lt;=30,"🟢",IF(C48&lt;=60,"🟡","🔴"))</f>
        <v>🟢</v>
      </c>
      <c r="F48" s="245" t="s">
        <v>947</v>
      </c>
      <c r="H48" s="246" t="s">
        <v>948</v>
      </c>
    </row>
    <row r="49" customFormat="false" ht="12" hidden="false" customHeight="true" outlineLevel="0" collapsed="false">
      <c r="C49" s="247" t="s">
        <v>325</v>
      </c>
      <c r="D49" s="248" t="s">
        <v>945</v>
      </c>
    </row>
    <row r="50" customFormat="false" ht="30" hidden="false" customHeight="true" outlineLevel="0" collapsed="false">
      <c r="B50" s="237" t="s">
        <v>949</v>
      </c>
      <c r="C50" s="250" t="n">
        <f aca="false">C46+C48-(IF(SUMPRODUCT(('Libro Diario'!$A$10:$A$5000=$B$5)*('Libro Diario'!$E$10:$E$5000=3101001)*(YEAR('Libro Diario'!$C$10:$C$5000)=$F$5)*('Libro Diario'!$H$10:$H$5000))&lt;&gt;0,((SUMPRODUCT(('Libro Diario'!$A$10:$A$5000=$B$5)*('Libro Diario'!$E$10:$E$5000=2102001)*(YEAR('Libro Diario'!$C$10:$C$5000)=$F$5)*('Libro Diario'!$I$10:$I$5000))-SUMPRODUCT(('Libro Diario'!$A$10:$A$5000=$B$5)*('Libro Diario'!$E$10:$E$5000=2102001)*(YEAR('Libro Diario'!$C$10:$C$5000)=$F$5)*('Libro Diario'!$H$10:$H$5000)))/SUMPRODUCT(('Libro Diario'!$A$10:$A$5000=$B$5)*('Libro Diario'!$E$10:$E$5000=3101001)*(YEAR('Libro Diario'!$C$10:$C$5000)=$F$5)*('Libro Diario'!$H$10:$H$5000)))*365,0))</f>
        <v>0</v>
      </c>
      <c r="D50" s="244" t="str">
        <f aca="false">IF(C50&lt;=30,"🟢",IF(C50&lt;=60,"🟡","🔴"))</f>
        <v>🟢</v>
      </c>
      <c r="F50" s="245" t="s">
        <v>950</v>
      </c>
      <c r="H50" s="246" t="s">
        <v>951</v>
      </c>
    </row>
    <row r="51" customFormat="false" ht="12" hidden="false" customHeight="true" outlineLevel="0" collapsed="false">
      <c r="C51" s="247" t="s">
        <v>325</v>
      </c>
      <c r="D51" s="248" t="s">
        <v>945</v>
      </c>
    </row>
    <row r="52" customFormat="false" ht="18" hidden="false" customHeight="true" outlineLevel="0" collapsed="false">
      <c r="B52" s="214" t="s">
        <v>952</v>
      </c>
      <c r="C52" s="214"/>
      <c r="D52" s="214"/>
      <c r="E52" s="214"/>
      <c r="F52" s="214"/>
      <c r="G52" s="214"/>
      <c r="H52" s="214"/>
    </row>
    <row r="53" customFormat="false" ht="30" hidden="false" customHeight="true" outlineLevel="0" collapsed="false">
      <c r="B53" s="237" t="s">
        <v>953</v>
      </c>
      <c r="C53" s="251" t="n">
        <f aca="false">IF($O$150&lt;&gt;0,C17/$O$150,0)</f>
        <v>0</v>
      </c>
      <c r="D53" s="244" t="str">
        <f aca="false">IF(C53&gt;=1,"🟢",IF(C53&gt;=0.5,"🟡","🔴"))</f>
        <v>🔴</v>
      </c>
      <c r="F53" s="245" t="s">
        <v>954</v>
      </c>
      <c r="H53" s="246" t="s">
        <v>955</v>
      </c>
    </row>
    <row r="54" customFormat="false" ht="12" hidden="false" customHeight="true" outlineLevel="0" collapsed="false">
      <c r="C54" s="247" t="s">
        <v>295</v>
      </c>
      <c r="D54" s="248" t="s">
        <v>956</v>
      </c>
    </row>
    <row r="55" customFormat="false" ht="30" hidden="false" customHeight="true" outlineLevel="0" collapsed="false">
      <c r="B55" s="237" t="s">
        <v>957</v>
      </c>
      <c r="C55" s="252" t="n">
        <f aca="false">IF($N$150&lt;&gt;0,$P$150/$N$150,0)</f>
        <v>0</v>
      </c>
      <c r="D55" s="244" t="str">
        <f aca="false">IF(C55&gt;=1.5,"🟢",IF(C55&gt;=1,"🟡","🔴"))</f>
        <v>🔴</v>
      </c>
      <c r="F55" s="245" t="s">
        <v>958</v>
      </c>
      <c r="H55" s="246" t="s">
        <v>959</v>
      </c>
    </row>
    <row r="56" customFormat="false" ht="12" hidden="false" customHeight="true" outlineLevel="0" collapsed="false">
      <c r="C56" s="247" t="s">
        <v>960</v>
      </c>
      <c r="D56" s="248" t="s">
        <v>961</v>
      </c>
    </row>
    <row r="57" customFormat="false" ht="30" hidden="false" customHeight="true" outlineLevel="0" collapsed="false">
      <c r="B57" s="237" t="s">
        <v>962</v>
      </c>
      <c r="C57" s="253" t="n">
        <f aca="false">IF($L$150&lt;&gt;0,C17/$L$150,0)</f>
        <v>0</v>
      </c>
      <c r="D57" s="244" t="str">
        <f aca="false">IF(C57&gt;=0.1,"🟢",IF(C57&gt;=0.05,"🟡","🔴"))</f>
        <v>🔴</v>
      </c>
      <c r="F57" s="245" t="s">
        <v>963</v>
      </c>
      <c r="H57" s="246" t="s">
        <v>964</v>
      </c>
    </row>
    <row r="58" customFormat="false" ht="12" hidden="false" customHeight="true" outlineLevel="0" collapsed="false">
      <c r="C58" s="247" t="s">
        <v>312</v>
      </c>
      <c r="D58" s="248" t="s">
        <v>965</v>
      </c>
    </row>
    <row r="59" customFormat="false" ht="18" hidden="false" customHeight="true" outlineLevel="0" collapsed="false"/>
    <row r="60" customFormat="false" ht="19.5" hidden="false" customHeight="true" outlineLevel="0" collapsed="false">
      <c r="B60" s="240" t="s">
        <v>966</v>
      </c>
      <c r="C60" s="240"/>
      <c r="D60" s="240"/>
      <c r="E60" s="240"/>
      <c r="F60" s="240"/>
      <c r="G60" s="240"/>
      <c r="H60" s="240"/>
    </row>
    <row r="61" customFormat="false" ht="18" hidden="false" customHeight="true" outlineLevel="0" collapsed="false">
      <c r="B61" s="254" t="s">
        <v>967</v>
      </c>
      <c r="C61" s="241" t="s">
        <v>968</v>
      </c>
      <c r="D61" s="241" t="s">
        <v>969</v>
      </c>
      <c r="E61" s="241" t="s">
        <v>970</v>
      </c>
      <c r="F61" s="241" t="s">
        <v>971</v>
      </c>
      <c r="G61" s="241" t="s">
        <v>972</v>
      </c>
      <c r="H61" s="241" t="s">
        <v>973</v>
      </c>
      <c r="I61" s="241" t="s">
        <v>974</v>
      </c>
      <c r="J61" s="241" t="s">
        <v>975</v>
      </c>
      <c r="K61" s="241" t="s">
        <v>976</v>
      </c>
      <c r="L61" s="241" t="s">
        <v>977</v>
      </c>
      <c r="M61" s="241" t="s">
        <v>978</v>
      </c>
      <c r="N61" s="241" t="s">
        <v>979</v>
      </c>
      <c r="O61" s="241" t="s">
        <v>980</v>
      </c>
    </row>
    <row r="62" customFormat="false" ht="18" hidden="false" customHeight="true" outlineLevel="0" collapsed="false">
      <c r="B62" s="255" t="s">
        <v>981</v>
      </c>
      <c r="C62" s="256" t="n">
        <f aca="false">(SUMPRODUCT(('Libro Diario'!$A$10:$A$5000=$B$5)*('Libro Diario'!$E$10:$E$5000=4101001)*(YEAR('Libro Diario'!$C$10:$C$5000)=$F$5)*(MONTH('Libro Diario'!$C$10:$C$5000)=1)*('Libro Diario'!$I$10:$I$5000))+SUMPRODUCT(('Libro Diario'!$A$10:$A$5000=$B$5)*('Libro Diario'!$E$10:$E$5000=4101002)*(YEAR('Libro Diario'!$C$10:$C$5000)=$F$5)*(MONTH('Libro Diario'!$C$10:$C$5000)=1)*('Libro Diario'!$I$10:$I$5000))+SUMPRODUCT(('Libro Diario'!$A$10:$A$5000=$B$5)*('Libro Diario'!$E$10:$E$5000=4101003)*(YEAR('Libro Diario'!$C$10:$C$5000)=$F$5)*(MONTH('Libro Diario'!$C$10:$C$5000)=1)*('Libro Diario'!$I$10:$I$5000))+SUMPRODUCT(('Libro Diario'!$A$10:$A$5000=$B$5)*('Libro Diario'!$E$10:$E$5000=4201001)*(YEAR('Libro Diario'!$C$10:$C$5000)=$F$5)*(MONTH('Libro Diario'!$C$10:$C$5000)=1)*('Libro Diario'!$I$10:$I$5000)))</f>
        <v>0</v>
      </c>
      <c r="D62" s="256" t="n">
        <f aca="false">(SUMPRODUCT(('Libro Diario'!$A$10:$A$5000=$B$5)*('Libro Diario'!$E$10:$E$5000=4101001)*(YEAR('Libro Diario'!$C$10:$C$5000)=$F$5)*(MONTH('Libro Diario'!$C$10:$C$5000)=2)*('Libro Diario'!$I$10:$I$5000))+SUMPRODUCT(('Libro Diario'!$A$10:$A$5000=$B$5)*('Libro Diario'!$E$10:$E$5000=4101002)*(YEAR('Libro Diario'!$C$10:$C$5000)=$F$5)*(MONTH('Libro Diario'!$C$10:$C$5000)=2)*('Libro Diario'!$I$10:$I$5000))+SUMPRODUCT(('Libro Diario'!$A$10:$A$5000=$B$5)*('Libro Diario'!$E$10:$E$5000=4101003)*(YEAR('Libro Diario'!$C$10:$C$5000)=$F$5)*(MONTH('Libro Diario'!$C$10:$C$5000)=2)*('Libro Diario'!$I$10:$I$5000))+SUMPRODUCT(('Libro Diario'!$A$10:$A$5000=$B$5)*('Libro Diario'!$E$10:$E$5000=4201001)*(YEAR('Libro Diario'!$C$10:$C$5000)=$F$5)*(MONTH('Libro Diario'!$C$10:$C$5000)=2)*('Libro Diario'!$I$10:$I$5000)))</f>
        <v>0</v>
      </c>
      <c r="E62" s="256" t="n">
        <f aca="false">(SUMPRODUCT(('Libro Diario'!$A$10:$A$5000=$B$5)*('Libro Diario'!$E$10:$E$5000=4101001)*(YEAR('Libro Diario'!$C$10:$C$5000)=$F$5)*(MONTH('Libro Diario'!$C$10:$C$5000)=3)*('Libro Diario'!$I$10:$I$5000))+SUMPRODUCT(('Libro Diario'!$A$10:$A$5000=$B$5)*('Libro Diario'!$E$10:$E$5000=4101002)*(YEAR('Libro Diario'!$C$10:$C$5000)=$F$5)*(MONTH('Libro Diario'!$C$10:$C$5000)=3)*('Libro Diario'!$I$10:$I$5000))+SUMPRODUCT(('Libro Diario'!$A$10:$A$5000=$B$5)*('Libro Diario'!$E$10:$E$5000=4101003)*(YEAR('Libro Diario'!$C$10:$C$5000)=$F$5)*(MONTH('Libro Diario'!$C$10:$C$5000)=3)*('Libro Diario'!$I$10:$I$5000))+SUMPRODUCT(('Libro Diario'!$A$10:$A$5000=$B$5)*('Libro Diario'!$E$10:$E$5000=4201001)*(YEAR('Libro Diario'!$C$10:$C$5000)=$F$5)*(MONTH('Libro Diario'!$C$10:$C$5000)=3)*('Libro Diario'!$I$10:$I$5000)))</f>
        <v>0</v>
      </c>
      <c r="F62" s="256" t="n">
        <f aca="false">(SUMPRODUCT(('Libro Diario'!$A$10:$A$5000=$B$5)*('Libro Diario'!$E$10:$E$5000=4101001)*(YEAR('Libro Diario'!$C$10:$C$5000)=$F$5)*(MONTH('Libro Diario'!$C$10:$C$5000)=4)*('Libro Diario'!$I$10:$I$5000))+SUMPRODUCT(('Libro Diario'!$A$10:$A$5000=$B$5)*('Libro Diario'!$E$10:$E$5000=4101002)*(YEAR('Libro Diario'!$C$10:$C$5000)=$F$5)*(MONTH('Libro Diario'!$C$10:$C$5000)=4)*('Libro Diario'!$I$10:$I$5000))+SUMPRODUCT(('Libro Diario'!$A$10:$A$5000=$B$5)*('Libro Diario'!$E$10:$E$5000=4101003)*(YEAR('Libro Diario'!$C$10:$C$5000)=$F$5)*(MONTH('Libro Diario'!$C$10:$C$5000)=4)*('Libro Diario'!$I$10:$I$5000))+SUMPRODUCT(('Libro Diario'!$A$10:$A$5000=$B$5)*('Libro Diario'!$E$10:$E$5000=4201001)*(YEAR('Libro Diario'!$C$10:$C$5000)=$F$5)*(MONTH('Libro Diario'!$C$10:$C$5000)=4)*('Libro Diario'!$I$10:$I$5000)))</f>
        <v>0</v>
      </c>
      <c r="G62" s="256" t="n">
        <f aca="false">(SUMPRODUCT(('Libro Diario'!$A$10:$A$5000=$B$5)*('Libro Diario'!$E$10:$E$5000=4101001)*(YEAR('Libro Diario'!$C$10:$C$5000)=$F$5)*(MONTH('Libro Diario'!$C$10:$C$5000)=5)*('Libro Diario'!$I$10:$I$5000))+SUMPRODUCT(('Libro Diario'!$A$10:$A$5000=$B$5)*('Libro Diario'!$E$10:$E$5000=4101002)*(YEAR('Libro Diario'!$C$10:$C$5000)=$F$5)*(MONTH('Libro Diario'!$C$10:$C$5000)=5)*('Libro Diario'!$I$10:$I$5000))+SUMPRODUCT(('Libro Diario'!$A$10:$A$5000=$B$5)*('Libro Diario'!$E$10:$E$5000=4101003)*(YEAR('Libro Diario'!$C$10:$C$5000)=$F$5)*(MONTH('Libro Diario'!$C$10:$C$5000)=5)*('Libro Diario'!$I$10:$I$5000))+SUMPRODUCT(('Libro Diario'!$A$10:$A$5000=$B$5)*('Libro Diario'!$E$10:$E$5000=4201001)*(YEAR('Libro Diario'!$C$10:$C$5000)=$F$5)*(MONTH('Libro Diario'!$C$10:$C$5000)=5)*('Libro Diario'!$I$10:$I$5000)))</f>
        <v>0</v>
      </c>
      <c r="H62" s="256" t="n">
        <f aca="false">(SUMPRODUCT(('Libro Diario'!$A$10:$A$5000=$B$5)*('Libro Diario'!$E$10:$E$5000=4101001)*(YEAR('Libro Diario'!$C$10:$C$5000)=$F$5)*(MONTH('Libro Diario'!$C$10:$C$5000)=6)*('Libro Diario'!$I$10:$I$5000))+SUMPRODUCT(('Libro Diario'!$A$10:$A$5000=$B$5)*('Libro Diario'!$E$10:$E$5000=4101002)*(YEAR('Libro Diario'!$C$10:$C$5000)=$F$5)*(MONTH('Libro Diario'!$C$10:$C$5000)=6)*('Libro Diario'!$I$10:$I$5000))+SUMPRODUCT(('Libro Diario'!$A$10:$A$5000=$B$5)*('Libro Diario'!$E$10:$E$5000=4101003)*(YEAR('Libro Diario'!$C$10:$C$5000)=$F$5)*(MONTH('Libro Diario'!$C$10:$C$5000)=6)*('Libro Diario'!$I$10:$I$5000))+SUMPRODUCT(('Libro Diario'!$A$10:$A$5000=$B$5)*('Libro Diario'!$E$10:$E$5000=4201001)*(YEAR('Libro Diario'!$C$10:$C$5000)=$F$5)*(MONTH('Libro Diario'!$C$10:$C$5000)=6)*('Libro Diario'!$I$10:$I$5000)))</f>
        <v>0</v>
      </c>
      <c r="I62" s="256" t="n">
        <f aca="false">(SUMPRODUCT(('Libro Diario'!$A$10:$A$5000=$B$5)*('Libro Diario'!$E$10:$E$5000=4101001)*(YEAR('Libro Diario'!$C$10:$C$5000)=$F$5)*(MONTH('Libro Diario'!$C$10:$C$5000)=7)*('Libro Diario'!$I$10:$I$5000))+SUMPRODUCT(('Libro Diario'!$A$10:$A$5000=$B$5)*('Libro Diario'!$E$10:$E$5000=4101002)*(YEAR('Libro Diario'!$C$10:$C$5000)=$F$5)*(MONTH('Libro Diario'!$C$10:$C$5000)=7)*('Libro Diario'!$I$10:$I$5000))+SUMPRODUCT(('Libro Diario'!$A$10:$A$5000=$B$5)*('Libro Diario'!$E$10:$E$5000=4101003)*(YEAR('Libro Diario'!$C$10:$C$5000)=$F$5)*(MONTH('Libro Diario'!$C$10:$C$5000)=7)*('Libro Diario'!$I$10:$I$5000))+SUMPRODUCT(('Libro Diario'!$A$10:$A$5000=$B$5)*('Libro Diario'!$E$10:$E$5000=4201001)*(YEAR('Libro Diario'!$C$10:$C$5000)=$F$5)*(MONTH('Libro Diario'!$C$10:$C$5000)=7)*('Libro Diario'!$I$10:$I$5000)))</f>
        <v>0</v>
      </c>
      <c r="J62" s="256" t="n">
        <f aca="false">(SUMPRODUCT(('Libro Diario'!$A$10:$A$5000=$B$5)*('Libro Diario'!$E$10:$E$5000=4101001)*(YEAR('Libro Diario'!$C$10:$C$5000)=$F$5)*(MONTH('Libro Diario'!$C$10:$C$5000)=8)*('Libro Diario'!$I$10:$I$5000))+SUMPRODUCT(('Libro Diario'!$A$10:$A$5000=$B$5)*('Libro Diario'!$E$10:$E$5000=4101002)*(YEAR('Libro Diario'!$C$10:$C$5000)=$F$5)*(MONTH('Libro Diario'!$C$10:$C$5000)=8)*('Libro Diario'!$I$10:$I$5000))+SUMPRODUCT(('Libro Diario'!$A$10:$A$5000=$B$5)*('Libro Diario'!$E$10:$E$5000=4101003)*(YEAR('Libro Diario'!$C$10:$C$5000)=$F$5)*(MONTH('Libro Diario'!$C$10:$C$5000)=8)*('Libro Diario'!$I$10:$I$5000))+SUMPRODUCT(('Libro Diario'!$A$10:$A$5000=$B$5)*('Libro Diario'!$E$10:$E$5000=4201001)*(YEAR('Libro Diario'!$C$10:$C$5000)=$F$5)*(MONTH('Libro Diario'!$C$10:$C$5000)=8)*('Libro Diario'!$I$10:$I$5000)))</f>
        <v>0</v>
      </c>
      <c r="K62" s="256" t="n">
        <f aca="false">(SUMPRODUCT(('Libro Diario'!$A$10:$A$5000=$B$5)*('Libro Diario'!$E$10:$E$5000=4101001)*(YEAR('Libro Diario'!$C$10:$C$5000)=$F$5)*(MONTH('Libro Diario'!$C$10:$C$5000)=9)*('Libro Diario'!$I$10:$I$5000))+SUMPRODUCT(('Libro Diario'!$A$10:$A$5000=$B$5)*('Libro Diario'!$E$10:$E$5000=4101002)*(YEAR('Libro Diario'!$C$10:$C$5000)=$F$5)*(MONTH('Libro Diario'!$C$10:$C$5000)=9)*('Libro Diario'!$I$10:$I$5000))+SUMPRODUCT(('Libro Diario'!$A$10:$A$5000=$B$5)*('Libro Diario'!$E$10:$E$5000=4101003)*(YEAR('Libro Diario'!$C$10:$C$5000)=$F$5)*(MONTH('Libro Diario'!$C$10:$C$5000)=9)*('Libro Diario'!$I$10:$I$5000))+SUMPRODUCT(('Libro Diario'!$A$10:$A$5000=$B$5)*('Libro Diario'!$E$10:$E$5000=4201001)*(YEAR('Libro Diario'!$C$10:$C$5000)=$F$5)*(MONTH('Libro Diario'!$C$10:$C$5000)=9)*('Libro Diario'!$I$10:$I$5000)))</f>
        <v>0</v>
      </c>
      <c r="L62" s="256" t="n">
        <f aca="false">(SUMPRODUCT(('Libro Diario'!$A$10:$A$5000=$B$5)*('Libro Diario'!$E$10:$E$5000=4101001)*(YEAR('Libro Diario'!$C$10:$C$5000)=$F$5)*(MONTH('Libro Diario'!$C$10:$C$5000)=10)*('Libro Diario'!$I$10:$I$5000))+SUMPRODUCT(('Libro Diario'!$A$10:$A$5000=$B$5)*('Libro Diario'!$E$10:$E$5000=4101002)*(YEAR('Libro Diario'!$C$10:$C$5000)=$F$5)*(MONTH('Libro Diario'!$C$10:$C$5000)=10)*('Libro Diario'!$I$10:$I$5000))+SUMPRODUCT(('Libro Diario'!$A$10:$A$5000=$B$5)*('Libro Diario'!$E$10:$E$5000=4101003)*(YEAR('Libro Diario'!$C$10:$C$5000)=$F$5)*(MONTH('Libro Diario'!$C$10:$C$5000)=10)*('Libro Diario'!$I$10:$I$5000))+SUMPRODUCT(('Libro Diario'!$A$10:$A$5000=$B$5)*('Libro Diario'!$E$10:$E$5000=4201001)*(YEAR('Libro Diario'!$C$10:$C$5000)=$F$5)*(MONTH('Libro Diario'!$C$10:$C$5000)=10)*('Libro Diario'!$I$10:$I$5000)))</f>
        <v>0</v>
      </c>
      <c r="M62" s="256" t="n">
        <f aca="false">(SUMPRODUCT(('Libro Diario'!$A$10:$A$5000=$B$5)*('Libro Diario'!$E$10:$E$5000=4101001)*(YEAR('Libro Diario'!$C$10:$C$5000)=$F$5)*(MONTH('Libro Diario'!$C$10:$C$5000)=11)*('Libro Diario'!$I$10:$I$5000))+SUMPRODUCT(('Libro Diario'!$A$10:$A$5000=$B$5)*('Libro Diario'!$E$10:$E$5000=4101002)*(YEAR('Libro Diario'!$C$10:$C$5000)=$F$5)*(MONTH('Libro Diario'!$C$10:$C$5000)=11)*('Libro Diario'!$I$10:$I$5000))+SUMPRODUCT(('Libro Diario'!$A$10:$A$5000=$B$5)*('Libro Diario'!$E$10:$E$5000=4101003)*(YEAR('Libro Diario'!$C$10:$C$5000)=$F$5)*(MONTH('Libro Diario'!$C$10:$C$5000)=11)*('Libro Diario'!$I$10:$I$5000))+SUMPRODUCT(('Libro Diario'!$A$10:$A$5000=$B$5)*('Libro Diario'!$E$10:$E$5000=4201001)*(YEAR('Libro Diario'!$C$10:$C$5000)=$F$5)*(MONTH('Libro Diario'!$C$10:$C$5000)=11)*('Libro Diario'!$I$10:$I$5000)))</f>
        <v>0</v>
      </c>
      <c r="N62" s="256" t="n">
        <f aca="false">(SUMPRODUCT(('Libro Diario'!$A$10:$A$5000=$B$5)*('Libro Diario'!$E$10:$E$5000=4101001)*(YEAR('Libro Diario'!$C$10:$C$5000)=$F$5)*(MONTH('Libro Diario'!$C$10:$C$5000)=12)*('Libro Diario'!$I$10:$I$5000))+SUMPRODUCT(('Libro Diario'!$A$10:$A$5000=$B$5)*('Libro Diario'!$E$10:$E$5000=4101002)*(YEAR('Libro Diario'!$C$10:$C$5000)=$F$5)*(MONTH('Libro Diario'!$C$10:$C$5000)=12)*('Libro Diario'!$I$10:$I$5000))+SUMPRODUCT(('Libro Diario'!$A$10:$A$5000=$B$5)*('Libro Diario'!$E$10:$E$5000=4101003)*(YEAR('Libro Diario'!$C$10:$C$5000)=$F$5)*(MONTH('Libro Diario'!$C$10:$C$5000)=12)*('Libro Diario'!$I$10:$I$5000))+SUMPRODUCT(('Libro Diario'!$A$10:$A$5000=$B$5)*('Libro Diario'!$E$10:$E$5000=4201001)*(YEAR('Libro Diario'!$C$10:$C$5000)=$F$5)*(MONTH('Libro Diario'!$C$10:$C$5000)=12)*('Libro Diario'!$I$10:$I$5000)))</f>
        <v>0</v>
      </c>
      <c r="O62" s="256" t="n">
        <f aca="false">(SUMPRODUCT(('Libro Diario'!$A$10:$A$5000=$B$5)*('Libro Diario'!$E$10:$E$5000=4101001)*(YEAR('Libro Diario'!$C$10:$C$5000)=$F$5)*(MONTH('Libro Diario'!$C$10:$C$5000)=13)*('Libro Diario'!$I$10:$I$5000))+SUMPRODUCT(('Libro Diario'!$A$10:$A$5000=$B$5)*('Libro Diario'!$E$10:$E$5000=4101002)*(YEAR('Libro Diario'!$C$10:$C$5000)=$F$5)*(MONTH('Libro Diario'!$C$10:$C$5000)=13)*('Libro Diario'!$I$10:$I$5000))+SUMPRODUCT(('Libro Diario'!$A$10:$A$5000=$B$5)*('Libro Diario'!$E$10:$E$5000=4101003)*(YEAR('Libro Diario'!$C$10:$C$5000)=$F$5)*(MONTH('Libro Diario'!$C$10:$C$5000)=13)*('Libro Diario'!$I$10:$I$5000))+SUMPRODUCT(('Libro Diario'!$A$10:$A$5000=$B$5)*('Libro Diario'!$E$10:$E$5000=4201001)*(YEAR('Libro Diario'!$C$10:$C$5000)=$F$5)*(MONTH('Libro Diario'!$C$10:$C$5000)=13)*('Libro Diario'!$I$10:$I$5000)))</f>
        <v>0</v>
      </c>
      <c r="P62" s="257" t="n">
        <f aca="false">SUM(C62:N62)</f>
        <v>0</v>
      </c>
    </row>
    <row r="63" customFormat="false" ht="18" hidden="false" customHeight="true" outlineLevel="0" collapsed="false">
      <c r="B63" s="255" t="s">
        <v>982</v>
      </c>
      <c r="C63" s="258" t="n">
        <f aca="false">(SUMPRODUCT(('Libro Diario'!$A$10:$A$5000=$B$5)*('Libro Diario'!$E$10:$E$5000=3101001)*(YEAR('Libro Diario'!$C$10:$C$5000)=$F$5)*(MONTH('Libro Diario'!$C$10:$C$5000)=1)*('Libro Diario'!$H$10:$H$5000))+SUMPRODUCT(('Libro Diario'!$A$10:$A$5000=$B$5)*('Libro Diario'!$E$10:$E$5000=3103001)*(YEAR('Libro Diario'!$C$10:$C$5000)=$F$5)*(MONTH('Libro Diario'!$C$10:$C$5000)=1)*('Libro Diario'!$H$10:$H$5000))+SUMPRODUCT(('Libro Diario'!$A$10:$A$5000=$B$5)*('Libro Diario'!$E$10:$E$5000=3103002)*(YEAR('Libro Diario'!$C$10:$C$5000)=$F$5)*(MONTH('Libro Diario'!$C$10:$C$5000)=1)*('Libro Diario'!$H$10:$H$5000))+SUMPRODUCT(('Libro Diario'!$A$10:$A$5000=$B$5)*('Libro Diario'!$E$10:$E$5000=3103003)*(YEAR('Libro Diario'!$C$10:$C$5000)=$F$5)*(MONTH('Libro Diario'!$C$10:$C$5000)=1)*('Libro Diario'!$H$10:$H$5000))+SUMPRODUCT(('Libro Diario'!$A$10:$A$5000=$B$5)*('Libro Diario'!$E$10:$E$5000=3103004)*(YEAR('Libro Diario'!$C$10:$C$5000)=$F$5)*(MONTH('Libro Diario'!$C$10:$C$5000)=1)*('Libro Diario'!$H$10:$H$5000))+SUMPRODUCT(('Libro Diario'!$A$10:$A$5000=$B$5)*('Libro Diario'!$E$10:$E$5000=3103005)*(YEAR('Libro Diario'!$C$10:$C$5000)=$F$5)*(MONTH('Libro Diario'!$C$10:$C$5000)=1)*('Libro Diario'!$H$10:$H$5000))+SUMPRODUCT(('Libro Diario'!$A$10:$A$5000=$B$5)*('Libro Diario'!$E$10:$E$5000=3103006)*(YEAR('Libro Diario'!$C$10:$C$5000)=$F$5)*(MONTH('Libro Diario'!$C$10:$C$5000)=1)*('Libro Diario'!$H$10:$H$5000))+SUMPRODUCT(('Libro Diario'!$A$10:$A$5000=$B$5)*('Libro Diario'!$E$10:$E$5000=3103007)*(YEAR('Libro Diario'!$C$10:$C$5000)=$F$5)*(MONTH('Libro Diario'!$C$10:$C$5000)=1)*('Libro Diario'!$H$10:$H$5000))+SUMPRODUCT(('Libro Diario'!$A$10:$A$5000=$B$5)*('Libro Diario'!$E$10:$E$5000=3103008)*(YEAR('Libro Diario'!$C$10:$C$5000)=$F$5)*(MONTH('Libro Diario'!$C$10:$C$5000)=1)*('Libro Diario'!$H$10:$H$5000))+SUMPRODUCT(('Libro Diario'!$A$10:$A$5000=$B$5)*('Libro Diario'!$E$10:$E$5000=3103009)*(YEAR('Libro Diario'!$C$10:$C$5000)=$F$5)*(MONTH('Libro Diario'!$C$10:$C$5000)=1)*('Libro Diario'!$H$10:$H$5000))+SUMPRODUCT(('Libro Diario'!$A$10:$A$5000=$B$5)*('Libro Diario'!$E$10:$E$5000=3103010)*(YEAR('Libro Diario'!$C$10:$C$5000)=$F$5)*(MONTH('Libro Diario'!$C$10:$C$5000)=1)*('Libro Diario'!$H$10:$H$5000))+SUMPRODUCT(('Libro Diario'!$A$10:$A$5000=$B$5)*('Libro Diario'!$E$10:$E$5000=3201001)*(YEAR('Libro Diario'!$C$10:$C$5000)=$F$5)*(MONTH('Libro Diario'!$C$10:$C$5000)=1)*('Libro Diario'!$H$10:$H$5000)))</f>
        <v>0</v>
      </c>
      <c r="D63" s="258" t="n">
        <f aca="false">(SUMPRODUCT(('Libro Diario'!$A$10:$A$5000=$B$5)*('Libro Diario'!$E$10:$E$5000=3101001)*(YEAR('Libro Diario'!$C$10:$C$5000)=$F$5)*(MONTH('Libro Diario'!$C$10:$C$5000)=2)*('Libro Diario'!$H$10:$H$5000))+SUMPRODUCT(('Libro Diario'!$A$10:$A$5000=$B$5)*('Libro Diario'!$E$10:$E$5000=3103001)*(YEAR('Libro Diario'!$C$10:$C$5000)=$F$5)*(MONTH('Libro Diario'!$C$10:$C$5000)=2)*('Libro Diario'!$H$10:$H$5000))+SUMPRODUCT(('Libro Diario'!$A$10:$A$5000=$B$5)*('Libro Diario'!$E$10:$E$5000=3103002)*(YEAR('Libro Diario'!$C$10:$C$5000)=$F$5)*(MONTH('Libro Diario'!$C$10:$C$5000)=2)*('Libro Diario'!$H$10:$H$5000))+SUMPRODUCT(('Libro Diario'!$A$10:$A$5000=$B$5)*('Libro Diario'!$E$10:$E$5000=3103003)*(YEAR('Libro Diario'!$C$10:$C$5000)=$F$5)*(MONTH('Libro Diario'!$C$10:$C$5000)=2)*('Libro Diario'!$H$10:$H$5000))+SUMPRODUCT(('Libro Diario'!$A$10:$A$5000=$B$5)*('Libro Diario'!$E$10:$E$5000=3103004)*(YEAR('Libro Diario'!$C$10:$C$5000)=$F$5)*(MONTH('Libro Diario'!$C$10:$C$5000)=2)*('Libro Diario'!$H$10:$H$5000))+SUMPRODUCT(('Libro Diario'!$A$10:$A$5000=$B$5)*('Libro Diario'!$E$10:$E$5000=3103005)*(YEAR('Libro Diario'!$C$10:$C$5000)=$F$5)*(MONTH('Libro Diario'!$C$10:$C$5000)=2)*('Libro Diario'!$H$10:$H$5000))+SUMPRODUCT(('Libro Diario'!$A$10:$A$5000=$B$5)*('Libro Diario'!$E$10:$E$5000=3103006)*(YEAR('Libro Diario'!$C$10:$C$5000)=$F$5)*(MONTH('Libro Diario'!$C$10:$C$5000)=2)*('Libro Diario'!$H$10:$H$5000))+SUMPRODUCT(('Libro Diario'!$A$10:$A$5000=$B$5)*('Libro Diario'!$E$10:$E$5000=3103007)*(YEAR('Libro Diario'!$C$10:$C$5000)=$F$5)*(MONTH('Libro Diario'!$C$10:$C$5000)=2)*('Libro Diario'!$H$10:$H$5000))+SUMPRODUCT(('Libro Diario'!$A$10:$A$5000=$B$5)*('Libro Diario'!$E$10:$E$5000=3103008)*(YEAR('Libro Diario'!$C$10:$C$5000)=$F$5)*(MONTH('Libro Diario'!$C$10:$C$5000)=2)*('Libro Diario'!$H$10:$H$5000))+SUMPRODUCT(('Libro Diario'!$A$10:$A$5000=$B$5)*('Libro Diario'!$E$10:$E$5000=3103009)*(YEAR('Libro Diario'!$C$10:$C$5000)=$F$5)*(MONTH('Libro Diario'!$C$10:$C$5000)=2)*('Libro Diario'!$H$10:$H$5000))+SUMPRODUCT(('Libro Diario'!$A$10:$A$5000=$B$5)*('Libro Diario'!$E$10:$E$5000=3103010)*(YEAR('Libro Diario'!$C$10:$C$5000)=$F$5)*(MONTH('Libro Diario'!$C$10:$C$5000)=2)*('Libro Diario'!$H$10:$H$5000))+SUMPRODUCT(('Libro Diario'!$A$10:$A$5000=$B$5)*('Libro Diario'!$E$10:$E$5000=3201001)*(YEAR('Libro Diario'!$C$10:$C$5000)=$F$5)*(MONTH('Libro Diario'!$C$10:$C$5000)=2)*('Libro Diario'!$H$10:$H$5000)))</f>
        <v>0</v>
      </c>
      <c r="E63" s="258" t="n">
        <f aca="false">(SUMPRODUCT(('Libro Diario'!$A$10:$A$5000=$B$5)*('Libro Diario'!$E$10:$E$5000=3101001)*(YEAR('Libro Diario'!$C$10:$C$5000)=$F$5)*(MONTH('Libro Diario'!$C$10:$C$5000)=3)*('Libro Diario'!$H$10:$H$5000))+SUMPRODUCT(('Libro Diario'!$A$10:$A$5000=$B$5)*('Libro Diario'!$E$10:$E$5000=3103001)*(YEAR('Libro Diario'!$C$10:$C$5000)=$F$5)*(MONTH('Libro Diario'!$C$10:$C$5000)=3)*('Libro Diario'!$H$10:$H$5000))+SUMPRODUCT(('Libro Diario'!$A$10:$A$5000=$B$5)*('Libro Diario'!$E$10:$E$5000=3103002)*(YEAR('Libro Diario'!$C$10:$C$5000)=$F$5)*(MONTH('Libro Diario'!$C$10:$C$5000)=3)*('Libro Diario'!$H$10:$H$5000))+SUMPRODUCT(('Libro Diario'!$A$10:$A$5000=$B$5)*('Libro Diario'!$E$10:$E$5000=3103003)*(YEAR('Libro Diario'!$C$10:$C$5000)=$F$5)*(MONTH('Libro Diario'!$C$10:$C$5000)=3)*('Libro Diario'!$H$10:$H$5000))+SUMPRODUCT(('Libro Diario'!$A$10:$A$5000=$B$5)*('Libro Diario'!$E$10:$E$5000=3103004)*(YEAR('Libro Diario'!$C$10:$C$5000)=$F$5)*(MONTH('Libro Diario'!$C$10:$C$5000)=3)*('Libro Diario'!$H$10:$H$5000))+SUMPRODUCT(('Libro Diario'!$A$10:$A$5000=$B$5)*('Libro Diario'!$E$10:$E$5000=3103005)*(YEAR('Libro Diario'!$C$10:$C$5000)=$F$5)*(MONTH('Libro Diario'!$C$10:$C$5000)=3)*('Libro Diario'!$H$10:$H$5000))+SUMPRODUCT(('Libro Diario'!$A$10:$A$5000=$B$5)*('Libro Diario'!$E$10:$E$5000=3103006)*(YEAR('Libro Diario'!$C$10:$C$5000)=$F$5)*(MONTH('Libro Diario'!$C$10:$C$5000)=3)*('Libro Diario'!$H$10:$H$5000))+SUMPRODUCT(('Libro Diario'!$A$10:$A$5000=$B$5)*('Libro Diario'!$E$10:$E$5000=3103007)*(YEAR('Libro Diario'!$C$10:$C$5000)=$F$5)*(MONTH('Libro Diario'!$C$10:$C$5000)=3)*('Libro Diario'!$H$10:$H$5000))+SUMPRODUCT(('Libro Diario'!$A$10:$A$5000=$B$5)*('Libro Diario'!$E$10:$E$5000=3103008)*(YEAR('Libro Diario'!$C$10:$C$5000)=$F$5)*(MONTH('Libro Diario'!$C$10:$C$5000)=3)*('Libro Diario'!$H$10:$H$5000))+SUMPRODUCT(('Libro Diario'!$A$10:$A$5000=$B$5)*('Libro Diario'!$E$10:$E$5000=3103009)*(YEAR('Libro Diario'!$C$10:$C$5000)=$F$5)*(MONTH('Libro Diario'!$C$10:$C$5000)=3)*('Libro Diario'!$H$10:$H$5000))+SUMPRODUCT(('Libro Diario'!$A$10:$A$5000=$B$5)*('Libro Diario'!$E$10:$E$5000=3103010)*(YEAR('Libro Diario'!$C$10:$C$5000)=$F$5)*(MONTH('Libro Diario'!$C$10:$C$5000)=3)*('Libro Diario'!$H$10:$H$5000))+SUMPRODUCT(('Libro Diario'!$A$10:$A$5000=$B$5)*('Libro Diario'!$E$10:$E$5000=3201001)*(YEAR('Libro Diario'!$C$10:$C$5000)=$F$5)*(MONTH('Libro Diario'!$C$10:$C$5000)=3)*('Libro Diario'!$H$10:$H$5000)))</f>
        <v>0</v>
      </c>
      <c r="F63" s="258" t="n">
        <f aca="false">(SUMPRODUCT(('Libro Diario'!$A$10:$A$5000=$B$5)*('Libro Diario'!$E$10:$E$5000=3101001)*(YEAR('Libro Diario'!$C$10:$C$5000)=$F$5)*(MONTH('Libro Diario'!$C$10:$C$5000)=4)*('Libro Diario'!$H$10:$H$5000))+SUMPRODUCT(('Libro Diario'!$A$10:$A$5000=$B$5)*('Libro Diario'!$E$10:$E$5000=3103001)*(YEAR('Libro Diario'!$C$10:$C$5000)=$F$5)*(MONTH('Libro Diario'!$C$10:$C$5000)=4)*('Libro Diario'!$H$10:$H$5000))+SUMPRODUCT(('Libro Diario'!$A$10:$A$5000=$B$5)*('Libro Diario'!$E$10:$E$5000=3103002)*(YEAR('Libro Diario'!$C$10:$C$5000)=$F$5)*(MONTH('Libro Diario'!$C$10:$C$5000)=4)*('Libro Diario'!$H$10:$H$5000))+SUMPRODUCT(('Libro Diario'!$A$10:$A$5000=$B$5)*('Libro Diario'!$E$10:$E$5000=3103003)*(YEAR('Libro Diario'!$C$10:$C$5000)=$F$5)*(MONTH('Libro Diario'!$C$10:$C$5000)=4)*('Libro Diario'!$H$10:$H$5000))+SUMPRODUCT(('Libro Diario'!$A$10:$A$5000=$B$5)*('Libro Diario'!$E$10:$E$5000=3103004)*(YEAR('Libro Diario'!$C$10:$C$5000)=$F$5)*(MONTH('Libro Diario'!$C$10:$C$5000)=4)*('Libro Diario'!$H$10:$H$5000))+SUMPRODUCT(('Libro Diario'!$A$10:$A$5000=$B$5)*('Libro Diario'!$E$10:$E$5000=3103005)*(YEAR('Libro Diario'!$C$10:$C$5000)=$F$5)*(MONTH('Libro Diario'!$C$10:$C$5000)=4)*('Libro Diario'!$H$10:$H$5000))+SUMPRODUCT(('Libro Diario'!$A$10:$A$5000=$B$5)*('Libro Diario'!$E$10:$E$5000=3103006)*(YEAR('Libro Diario'!$C$10:$C$5000)=$F$5)*(MONTH('Libro Diario'!$C$10:$C$5000)=4)*('Libro Diario'!$H$10:$H$5000))+SUMPRODUCT(('Libro Diario'!$A$10:$A$5000=$B$5)*('Libro Diario'!$E$10:$E$5000=3103007)*(YEAR('Libro Diario'!$C$10:$C$5000)=$F$5)*(MONTH('Libro Diario'!$C$10:$C$5000)=4)*('Libro Diario'!$H$10:$H$5000))+SUMPRODUCT(('Libro Diario'!$A$10:$A$5000=$B$5)*('Libro Diario'!$E$10:$E$5000=3103008)*(YEAR('Libro Diario'!$C$10:$C$5000)=$F$5)*(MONTH('Libro Diario'!$C$10:$C$5000)=4)*('Libro Diario'!$H$10:$H$5000))+SUMPRODUCT(('Libro Diario'!$A$10:$A$5000=$B$5)*('Libro Diario'!$E$10:$E$5000=3103009)*(YEAR('Libro Diario'!$C$10:$C$5000)=$F$5)*(MONTH('Libro Diario'!$C$10:$C$5000)=4)*('Libro Diario'!$H$10:$H$5000))+SUMPRODUCT(('Libro Diario'!$A$10:$A$5000=$B$5)*('Libro Diario'!$E$10:$E$5000=3103010)*(YEAR('Libro Diario'!$C$10:$C$5000)=$F$5)*(MONTH('Libro Diario'!$C$10:$C$5000)=4)*('Libro Diario'!$H$10:$H$5000))+SUMPRODUCT(('Libro Diario'!$A$10:$A$5000=$B$5)*('Libro Diario'!$E$10:$E$5000=3201001)*(YEAR('Libro Diario'!$C$10:$C$5000)=$F$5)*(MONTH('Libro Diario'!$C$10:$C$5000)=4)*('Libro Diario'!$H$10:$H$5000)))</f>
        <v>0</v>
      </c>
      <c r="G63" s="258" t="n">
        <f aca="false">(SUMPRODUCT(('Libro Diario'!$A$10:$A$5000=$B$5)*('Libro Diario'!$E$10:$E$5000=3101001)*(YEAR('Libro Diario'!$C$10:$C$5000)=$F$5)*(MONTH('Libro Diario'!$C$10:$C$5000)=5)*('Libro Diario'!$H$10:$H$5000))+SUMPRODUCT(('Libro Diario'!$A$10:$A$5000=$B$5)*('Libro Diario'!$E$10:$E$5000=3103001)*(YEAR('Libro Diario'!$C$10:$C$5000)=$F$5)*(MONTH('Libro Diario'!$C$10:$C$5000)=5)*('Libro Diario'!$H$10:$H$5000))+SUMPRODUCT(('Libro Diario'!$A$10:$A$5000=$B$5)*('Libro Diario'!$E$10:$E$5000=3103002)*(YEAR('Libro Diario'!$C$10:$C$5000)=$F$5)*(MONTH('Libro Diario'!$C$10:$C$5000)=5)*('Libro Diario'!$H$10:$H$5000))+SUMPRODUCT(('Libro Diario'!$A$10:$A$5000=$B$5)*('Libro Diario'!$E$10:$E$5000=3103003)*(YEAR('Libro Diario'!$C$10:$C$5000)=$F$5)*(MONTH('Libro Diario'!$C$10:$C$5000)=5)*('Libro Diario'!$H$10:$H$5000))+SUMPRODUCT(('Libro Diario'!$A$10:$A$5000=$B$5)*('Libro Diario'!$E$10:$E$5000=3103004)*(YEAR('Libro Diario'!$C$10:$C$5000)=$F$5)*(MONTH('Libro Diario'!$C$10:$C$5000)=5)*('Libro Diario'!$H$10:$H$5000))+SUMPRODUCT(('Libro Diario'!$A$10:$A$5000=$B$5)*('Libro Diario'!$E$10:$E$5000=3103005)*(YEAR('Libro Diario'!$C$10:$C$5000)=$F$5)*(MONTH('Libro Diario'!$C$10:$C$5000)=5)*('Libro Diario'!$H$10:$H$5000))+SUMPRODUCT(('Libro Diario'!$A$10:$A$5000=$B$5)*('Libro Diario'!$E$10:$E$5000=3103006)*(YEAR('Libro Diario'!$C$10:$C$5000)=$F$5)*(MONTH('Libro Diario'!$C$10:$C$5000)=5)*('Libro Diario'!$H$10:$H$5000))+SUMPRODUCT(('Libro Diario'!$A$10:$A$5000=$B$5)*('Libro Diario'!$E$10:$E$5000=3103007)*(YEAR('Libro Diario'!$C$10:$C$5000)=$F$5)*(MONTH('Libro Diario'!$C$10:$C$5000)=5)*('Libro Diario'!$H$10:$H$5000))+SUMPRODUCT(('Libro Diario'!$A$10:$A$5000=$B$5)*('Libro Diario'!$E$10:$E$5000=3103008)*(YEAR('Libro Diario'!$C$10:$C$5000)=$F$5)*(MONTH('Libro Diario'!$C$10:$C$5000)=5)*('Libro Diario'!$H$10:$H$5000))+SUMPRODUCT(('Libro Diario'!$A$10:$A$5000=$B$5)*('Libro Diario'!$E$10:$E$5000=3103009)*(YEAR('Libro Diario'!$C$10:$C$5000)=$F$5)*(MONTH('Libro Diario'!$C$10:$C$5000)=5)*('Libro Diario'!$H$10:$H$5000))+SUMPRODUCT(('Libro Diario'!$A$10:$A$5000=$B$5)*('Libro Diario'!$E$10:$E$5000=3103010)*(YEAR('Libro Diario'!$C$10:$C$5000)=$F$5)*(MONTH('Libro Diario'!$C$10:$C$5000)=5)*('Libro Diario'!$H$10:$H$5000))+SUMPRODUCT(('Libro Diario'!$A$10:$A$5000=$B$5)*('Libro Diario'!$E$10:$E$5000=3201001)*(YEAR('Libro Diario'!$C$10:$C$5000)=$F$5)*(MONTH('Libro Diario'!$C$10:$C$5000)=5)*('Libro Diario'!$H$10:$H$5000)))</f>
        <v>0</v>
      </c>
      <c r="H63" s="258" t="n">
        <f aca="false">(SUMPRODUCT(('Libro Diario'!$A$10:$A$5000=$B$5)*('Libro Diario'!$E$10:$E$5000=3101001)*(YEAR('Libro Diario'!$C$10:$C$5000)=$F$5)*(MONTH('Libro Diario'!$C$10:$C$5000)=6)*('Libro Diario'!$H$10:$H$5000))+SUMPRODUCT(('Libro Diario'!$A$10:$A$5000=$B$5)*('Libro Diario'!$E$10:$E$5000=3103001)*(YEAR('Libro Diario'!$C$10:$C$5000)=$F$5)*(MONTH('Libro Diario'!$C$10:$C$5000)=6)*('Libro Diario'!$H$10:$H$5000))+SUMPRODUCT(('Libro Diario'!$A$10:$A$5000=$B$5)*('Libro Diario'!$E$10:$E$5000=3103002)*(YEAR('Libro Diario'!$C$10:$C$5000)=$F$5)*(MONTH('Libro Diario'!$C$10:$C$5000)=6)*('Libro Diario'!$H$10:$H$5000))+SUMPRODUCT(('Libro Diario'!$A$10:$A$5000=$B$5)*('Libro Diario'!$E$10:$E$5000=3103003)*(YEAR('Libro Diario'!$C$10:$C$5000)=$F$5)*(MONTH('Libro Diario'!$C$10:$C$5000)=6)*('Libro Diario'!$H$10:$H$5000))+SUMPRODUCT(('Libro Diario'!$A$10:$A$5000=$B$5)*('Libro Diario'!$E$10:$E$5000=3103004)*(YEAR('Libro Diario'!$C$10:$C$5000)=$F$5)*(MONTH('Libro Diario'!$C$10:$C$5000)=6)*('Libro Diario'!$H$10:$H$5000))+SUMPRODUCT(('Libro Diario'!$A$10:$A$5000=$B$5)*('Libro Diario'!$E$10:$E$5000=3103005)*(YEAR('Libro Diario'!$C$10:$C$5000)=$F$5)*(MONTH('Libro Diario'!$C$10:$C$5000)=6)*('Libro Diario'!$H$10:$H$5000))+SUMPRODUCT(('Libro Diario'!$A$10:$A$5000=$B$5)*('Libro Diario'!$E$10:$E$5000=3103006)*(YEAR('Libro Diario'!$C$10:$C$5000)=$F$5)*(MONTH('Libro Diario'!$C$10:$C$5000)=6)*('Libro Diario'!$H$10:$H$5000))+SUMPRODUCT(('Libro Diario'!$A$10:$A$5000=$B$5)*('Libro Diario'!$E$10:$E$5000=3103007)*(YEAR('Libro Diario'!$C$10:$C$5000)=$F$5)*(MONTH('Libro Diario'!$C$10:$C$5000)=6)*('Libro Diario'!$H$10:$H$5000))+SUMPRODUCT(('Libro Diario'!$A$10:$A$5000=$B$5)*('Libro Diario'!$E$10:$E$5000=3103008)*(YEAR('Libro Diario'!$C$10:$C$5000)=$F$5)*(MONTH('Libro Diario'!$C$10:$C$5000)=6)*('Libro Diario'!$H$10:$H$5000))+SUMPRODUCT(('Libro Diario'!$A$10:$A$5000=$B$5)*('Libro Diario'!$E$10:$E$5000=3103009)*(YEAR('Libro Diario'!$C$10:$C$5000)=$F$5)*(MONTH('Libro Diario'!$C$10:$C$5000)=6)*('Libro Diario'!$H$10:$H$5000))+SUMPRODUCT(('Libro Diario'!$A$10:$A$5000=$B$5)*('Libro Diario'!$E$10:$E$5000=3103010)*(YEAR('Libro Diario'!$C$10:$C$5000)=$F$5)*(MONTH('Libro Diario'!$C$10:$C$5000)=6)*('Libro Diario'!$H$10:$H$5000))+SUMPRODUCT(('Libro Diario'!$A$10:$A$5000=$B$5)*('Libro Diario'!$E$10:$E$5000=3201001)*(YEAR('Libro Diario'!$C$10:$C$5000)=$F$5)*(MONTH('Libro Diario'!$C$10:$C$5000)=6)*('Libro Diario'!$H$10:$H$5000)))</f>
        <v>0</v>
      </c>
      <c r="I63" s="258" t="n">
        <f aca="false">(SUMPRODUCT(('Libro Diario'!$A$10:$A$5000=$B$5)*('Libro Diario'!$E$10:$E$5000=3101001)*(YEAR('Libro Diario'!$C$10:$C$5000)=$F$5)*(MONTH('Libro Diario'!$C$10:$C$5000)=7)*('Libro Diario'!$H$10:$H$5000))+SUMPRODUCT(('Libro Diario'!$A$10:$A$5000=$B$5)*('Libro Diario'!$E$10:$E$5000=3103001)*(YEAR('Libro Diario'!$C$10:$C$5000)=$F$5)*(MONTH('Libro Diario'!$C$10:$C$5000)=7)*('Libro Diario'!$H$10:$H$5000))+SUMPRODUCT(('Libro Diario'!$A$10:$A$5000=$B$5)*('Libro Diario'!$E$10:$E$5000=3103002)*(YEAR('Libro Diario'!$C$10:$C$5000)=$F$5)*(MONTH('Libro Diario'!$C$10:$C$5000)=7)*('Libro Diario'!$H$10:$H$5000))+SUMPRODUCT(('Libro Diario'!$A$10:$A$5000=$B$5)*('Libro Diario'!$E$10:$E$5000=3103003)*(YEAR('Libro Diario'!$C$10:$C$5000)=$F$5)*(MONTH('Libro Diario'!$C$10:$C$5000)=7)*('Libro Diario'!$H$10:$H$5000))+SUMPRODUCT(('Libro Diario'!$A$10:$A$5000=$B$5)*('Libro Diario'!$E$10:$E$5000=3103004)*(YEAR('Libro Diario'!$C$10:$C$5000)=$F$5)*(MONTH('Libro Diario'!$C$10:$C$5000)=7)*('Libro Diario'!$H$10:$H$5000))+SUMPRODUCT(('Libro Diario'!$A$10:$A$5000=$B$5)*('Libro Diario'!$E$10:$E$5000=3103005)*(YEAR('Libro Diario'!$C$10:$C$5000)=$F$5)*(MONTH('Libro Diario'!$C$10:$C$5000)=7)*('Libro Diario'!$H$10:$H$5000))+SUMPRODUCT(('Libro Diario'!$A$10:$A$5000=$B$5)*('Libro Diario'!$E$10:$E$5000=3103006)*(YEAR('Libro Diario'!$C$10:$C$5000)=$F$5)*(MONTH('Libro Diario'!$C$10:$C$5000)=7)*('Libro Diario'!$H$10:$H$5000))+SUMPRODUCT(('Libro Diario'!$A$10:$A$5000=$B$5)*('Libro Diario'!$E$10:$E$5000=3103007)*(YEAR('Libro Diario'!$C$10:$C$5000)=$F$5)*(MONTH('Libro Diario'!$C$10:$C$5000)=7)*('Libro Diario'!$H$10:$H$5000))+SUMPRODUCT(('Libro Diario'!$A$10:$A$5000=$B$5)*('Libro Diario'!$E$10:$E$5000=3103008)*(YEAR('Libro Diario'!$C$10:$C$5000)=$F$5)*(MONTH('Libro Diario'!$C$10:$C$5000)=7)*('Libro Diario'!$H$10:$H$5000))+SUMPRODUCT(('Libro Diario'!$A$10:$A$5000=$B$5)*('Libro Diario'!$E$10:$E$5000=3103009)*(YEAR('Libro Diario'!$C$10:$C$5000)=$F$5)*(MONTH('Libro Diario'!$C$10:$C$5000)=7)*('Libro Diario'!$H$10:$H$5000))+SUMPRODUCT(('Libro Diario'!$A$10:$A$5000=$B$5)*('Libro Diario'!$E$10:$E$5000=3103010)*(YEAR('Libro Diario'!$C$10:$C$5000)=$F$5)*(MONTH('Libro Diario'!$C$10:$C$5000)=7)*('Libro Diario'!$H$10:$H$5000))+SUMPRODUCT(('Libro Diario'!$A$10:$A$5000=$B$5)*('Libro Diario'!$E$10:$E$5000=3201001)*(YEAR('Libro Diario'!$C$10:$C$5000)=$F$5)*(MONTH('Libro Diario'!$C$10:$C$5000)=7)*('Libro Diario'!$H$10:$H$5000)))</f>
        <v>0</v>
      </c>
      <c r="J63" s="258" t="n">
        <f aca="false">(SUMPRODUCT(('Libro Diario'!$A$10:$A$5000=$B$5)*('Libro Diario'!$E$10:$E$5000=3101001)*(YEAR('Libro Diario'!$C$10:$C$5000)=$F$5)*(MONTH('Libro Diario'!$C$10:$C$5000)=8)*('Libro Diario'!$H$10:$H$5000))+SUMPRODUCT(('Libro Diario'!$A$10:$A$5000=$B$5)*('Libro Diario'!$E$10:$E$5000=3103001)*(YEAR('Libro Diario'!$C$10:$C$5000)=$F$5)*(MONTH('Libro Diario'!$C$10:$C$5000)=8)*('Libro Diario'!$H$10:$H$5000))+SUMPRODUCT(('Libro Diario'!$A$10:$A$5000=$B$5)*('Libro Diario'!$E$10:$E$5000=3103002)*(YEAR('Libro Diario'!$C$10:$C$5000)=$F$5)*(MONTH('Libro Diario'!$C$10:$C$5000)=8)*('Libro Diario'!$H$10:$H$5000))+SUMPRODUCT(('Libro Diario'!$A$10:$A$5000=$B$5)*('Libro Diario'!$E$10:$E$5000=3103003)*(YEAR('Libro Diario'!$C$10:$C$5000)=$F$5)*(MONTH('Libro Diario'!$C$10:$C$5000)=8)*('Libro Diario'!$H$10:$H$5000))+SUMPRODUCT(('Libro Diario'!$A$10:$A$5000=$B$5)*('Libro Diario'!$E$10:$E$5000=3103004)*(YEAR('Libro Diario'!$C$10:$C$5000)=$F$5)*(MONTH('Libro Diario'!$C$10:$C$5000)=8)*('Libro Diario'!$H$10:$H$5000))+SUMPRODUCT(('Libro Diario'!$A$10:$A$5000=$B$5)*('Libro Diario'!$E$10:$E$5000=3103005)*(YEAR('Libro Diario'!$C$10:$C$5000)=$F$5)*(MONTH('Libro Diario'!$C$10:$C$5000)=8)*('Libro Diario'!$H$10:$H$5000))+SUMPRODUCT(('Libro Diario'!$A$10:$A$5000=$B$5)*('Libro Diario'!$E$10:$E$5000=3103006)*(YEAR('Libro Diario'!$C$10:$C$5000)=$F$5)*(MONTH('Libro Diario'!$C$10:$C$5000)=8)*('Libro Diario'!$H$10:$H$5000))+SUMPRODUCT(('Libro Diario'!$A$10:$A$5000=$B$5)*('Libro Diario'!$E$10:$E$5000=3103007)*(YEAR('Libro Diario'!$C$10:$C$5000)=$F$5)*(MONTH('Libro Diario'!$C$10:$C$5000)=8)*('Libro Diario'!$H$10:$H$5000))+SUMPRODUCT(('Libro Diario'!$A$10:$A$5000=$B$5)*('Libro Diario'!$E$10:$E$5000=3103008)*(YEAR('Libro Diario'!$C$10:$C$5000)=$F$5)*(MONTH('Libro Diario'!$C$10:$C$5000)=8)*('Libro Diario'!$H$10:$H$5000))+SUMPRODUCT(('Libro Diario'!$A$10:$A$5000=$B$5)*('Libro Diario'!$E$10:$E$5000=3103009)*(YEAR('Libro Diario'!$C$10:$C$5000)=$F$5)*(MONTH('Libro Diario'!$C$10:$C$5000)=8)*('Libro Diario'!$H$10:$H$5000))+SUMPRODUCT(('Libro Diario'!$A$10:$A$5000=$B$5)*('Libro Diario'!$E$10:$E$5000=3103010)*(YEAR('Libro Diario'!$C$10:$C$5000)=$F$5)*(MONTH('Libro Diario'!$C$10:$C$5000)=8)*('Libro Diario'!$H$10:$H$5000))+SUMPRODUCT(('Libro Diario'!$A$10:$A$5000=$B$5)*('Libro Diario'!$E$10:$E$5000=3201001)*(YEAR('Libro Diario'!$C$10:$C$5000)=$F$5)*(MONTH('Libro Diario'!$C$10:$C$5000)=8)*('Libro Diario'!$H$10:$H$5000)))</f>
        <v>0</v>
      </c>
      <c r="K63" s="258" t="n">
        <f aca="false">(SUMPRODUCT(('Libro Diario'!$A$10:$A$5000=$B$5)*('Libro Diario'!$E$10:$E$5000=3101001)*(YEAR('Libro Diario'!$C$10:$C$5000)=$F$5)*(MONTH('Libro Diario'!$C$10:$C$5000)=9)*('Libro Diario'!$H$10:$H$5000))+SUMPRODUCT(('Libro Diario'!$A$10:$A$5000=$B$5)*('Libro Diario'!$E$10:$E$5000=3103001)*(YEAR('Libro Diario'!$C$10:$C$5000)=$F$5)*(MONTH('Libro Diario'!$C$10:$C$5000)=9)*('Libro Diario'!$H$10:$H$5000))+SUMPRODUCT(('Libro Diario'!$A$10:$A$5000=$B$5)*('Libro Diario'!$E$10:$E$5000=3103002)*(YEAR('Libro Diario'!$C$10:$C$5000)=$F$5)*(MONTH('Libro Diario'!$C$10:$C$5000)=9)*('Libro Diario'!$H$10:$H$5000))+SUMPRODUCT(('Libro Diario'!$A$10:$A$5000=$B$5)*('Libro Diario'!$E$10:$E$5000=3103003)*(YEAR('Libro Diario'!$C$10:$C$5000)=$F$5)*(MONTH('Libro Diario'!$C$10:$C$5000)=9)*('Libro Diario'!$H$10:$H$5000))+SUMPRODUCT(('Libro Diario'!$A$10:$A$5000=$B$5)*('Libro Diario'!$E$10:$E$5000=3103004)*(YEAR('Libro Diario'!$C$10:$C$5000)=$F$5)*(MONTH('Libro Diario'!$C$10:$C$5000)=9)*('Libro Diario'!$H$10:$H$5000))+SUMPRODUCT(('Libro Diario'!$A$10:$A$5000=$B$5)*('Libro Diario'!$E$10:$E$5000=3103005)*(YEAR('Libro Diario'!$C$10:$C$5000)=$F$5)*(MONTH('Libro Diario'!$C$10:$C$5000)=9)*('Libro Diario'!$H$10:$H$5000))+SUMPRODUCT(('Libro Diario'!$A$10:$A$5000=$B$5)*('Libro Diario'!$E$10:$E$5000=3103006)*(YEAR('Libro Diario'!$C$10:$C$5000)=$F$5)*(MONTH('Libro Diario'!$C$10:$C$5000)=9)*('Libro Diario'!$H$10:$H$5000))+SUMPRODUCT(('Libro Diario'!$A$10:$A$5000=$B$5)*('Libro Diario'!$E$10:$E$5000=3103007)*(YEAR('Libro Diario'!$C$10:$C$5000)=$F$5)*(MONTH('Libro Diario'!$C$10:$C$5000)=9)*('Libro Diario'!$H$10:$H$5000))+SUMPRODUCT(('Libro Diario'!$A$10:$A$5000=$B$5)*('Libro Diario'!$E$10:$E$5000=3103008)*(YEAR('Libro Diario'!$C$10:$C$5000)=$F$5)*(MONTH('Libro Diario'!$C$10:$C$5000)=9)*('Libro Diario'!$H$10:$H$5000))+SUMPRODUCT(('Libro Diario'!$A$10:$A$5000=$B$5)*('Libro Diario'!$E$10:$E$5000=3103009)*(YEAR('Libro Diario'!$C$10:$C$5000)=$F$5)*(MONTH('Libro Diario'!$C$10:$C$5000)=9)*('Libro Diario'!$H$10:$H$5000))+SUMPRODUCT(('Libro Diario'!$A$10:$A$5000=$B$5)*('Libro Diario'!$E$10:$E$5000=3103010)*(YEAR('Libro Diario'!$C$10:$C$5000)=$F$5)*(MONTH('Libro Diario'!$C$10:$C$5000)=9)*('Libro Diario'!$H$10:$H$5000))+SUMPRODUCT(('Libro Diario'!$A$10:$A$5000=$B$5)*('Libro Diario'!$E$10:$E$5000=3201001)*(YEAR('Libro Diario'!$C$10:$C$5000)=$F$5)*(MONTH('Libro Diario'!$C$10:$C$5000)=9)*('Libro Diario'!$H$10:$H$5000)))</f>
        <v>0</v>
      </c>
      <c r="L63" s="258" t="n">
        <f aca="false">(SUMPRODUCT(('Libro Diario'!$A$10:$A$5000=$B$5)*('Libro Diario'!$E$10:$E$5000=3101001)*(YEAR('Libro Diario'!$C$10:$C$5000)=$F$5)*(MONTH('Libro Diario'!$C$10:$C$5000)=10)*('Libro Diario'!$H$10:$H$5000))+SUMPRODUCT(('Libro Diario'!$A$10:$A$5000=$B$5)*('Libro Diario'!$E$10:$E$5000=3103001)*(YEAR('Libro Diario'!$C$10:$C$5000)=$F$5)*(MONTH('Libro Diario'!$C$10:$C$5000)=10)*('Libro Diario'!$H$10:$H$5000))+SUMPRODUCT(('Libro Diario'!$A$10:$A$5000=$B$5)*('Libro Diario'!$E$10:$E$5000=3103002)*(YEAR('Libro Diario'!$C$10:$C$5000)=$F$5)*(MONTH('Libro Diario'!$C$10:$C$5000)=10)*('Libro Diario'!$H$10:$H$5000))+SUMPRODUCT(('Libro Diario'!$A$10:$A$5000=$B$5)*('Libro Diario'!$E$10:$E$5000=3103003)*(YEAR('Libro Diario'!$C$10:$C$5000)=$F$5)*(MONTH('Libro Diario'!$C$10:$C$5000)=10)*('Libro Diario'!$H$10:$H$5000))+SUMPRODUCT(('Libro Diario'!$A$10:$A$5000=$B$5)*('Libro Diario'!$E$10:$E$5000=3103004)*(YEAR('Libro Diario'!$C$10:$C$5000)=$F$5)*(MONTH('Libro Diario'!$C$10:$C$5000)=10)*('Libro Diario'!$H$10:$H$5000))+SUMPRODUCT(('Libro Diario'!$A$10:$A$5000=$B$5)*('Libro Diario'!$E$10:$E$5000=3103005)*(YEAR('Libro Diario'!$C$10:$C$5000)=$F$5)*(MONTH('Libro Diario'!$C$10:$C$5000)=10)*('Libro Diario'!$H$10:$H$5000))+SUMPRODUCT(('Libro Diario'!$A$10:$A$5000=$B$5)*('Libro Diario'!$E$10:$E$5000=3103006)*(YEAR('Libro Diario'!$C$10:$C$5000)=$F$5)*(MONTH('Libro Diario'!$C$10:$C$5000)=10)*('Libro Diario'!$H$10:$H$5000))+SUMPRODUCT(('Libro Diario'!$A$10:$A$5000=$B$5)*('Libro Diario'!$E$10:$E$5000=3103007)*(YEAR('Libro Diario'!$C$10:$C$5000)=$F$5)*(MONTH('Libro Diario'!$C$10:$C$5000)=10)*('Libro Diario'!$H$10:$H$5000))+SUMPRODUCT(('Libro Diario'!$A$10:$A$5000=$B$5)*('Libro Diario'!$E$10:$E$5000=3103008)*(YEAR('Libro Diario'!$C$10:$C$5000)=$F$5)*(MONTH('Libro Diario'!$C$10:$C$5000)=10)*('Libro Diario'!$H$10:$H$5000))+SUMPRODUCT(('Libro Diario'!$A$10:$A$5000=$B$5)*('Libro Diario'!$E$10:$E$5000=3103009)*(YEAR('Libro Diario'!$C$10:$C$5000)=$F$5)*(MONTH('Libro Diario'!$C$10:$C$5000)=10)*('Libro Diario'!$H$10:$H$5000))+SUMPRODUCT(('Libro Diario'!$A$10:$A$5000=$B$5)*('Libro Diario'!$E$10:$E$5000=3103010)*(YEAR('Libro Diario'!$C$10:$C$5000)=$F$5)*(MONTH('Libro Diario'!$C$10:$C$5000)=10)*('Libro Diario'!$H$10:$H$5000))+SUMPRODUCT(('Libro Diario'!$A$10:$A$5000=$B$5)*('Libro Diario'!$E$10:$E$5000=3201001)*(YEAR('Libro Diario'!$C$10:$C$5000)=$F$5)*(MONTH('Libro Diario'!$C$10:$C$5000)=10)*('Libro Diario'!$H$10:$H$5000)))</f>
        <v>0</v>
      </c>
      <c r="M63" s="258" t="n">
        <f aca="false">(SUMPRODUCT(('Libro Diario'!$A$10:$A$5000=$B$5)*('Libro Diario'!$E$10:$E$5000=3101001)*(YEAR('Libro Diario'!$C$10:$C$5000)=$F$5)*(MONTH('Libro Diario'!$C$10:$C$5000)=11)*('Libro Diario'!$H$10:$H$5000))+SUMPRODUCT(('Libro Diario'!$A$10:$A$5000=$B$5)*('Libro Diario'!$E$10:$E$5000=3103001)*(YEAR('Libro Diario'!$C$10:$C$5000)=$F$5)*(MONTH('Libro Diario'!$C$10:$C$5000)=11)*('Libro Diario'!$H$10:$H$5000))+SUMPRODUCT(('Libro Diario'!$A$10:$A$5000=$B$5)*('Libro Diario'!$E$10:$E$5000=3103002)*(YEAR('Libro Diario'!$C$10:$C$5000)=$F$5)*(MONTH('Libro Diario'!$C$10:$C$5000)=11)*('Libro Diario'!$H$10:$H$5000))+SUMPRODUCT(('Libro Diario'!$A$10:$A$5000=$B$5)*('Libro Diario'!$E$10:$E$5000=3103003)*(YEAR('Libro Diario'!$C$10:$C$5000)=$F$5)*(MONTH('Libro Diario'!$C$10:$C$5000)=11)*('Libro Diario'!$H$10:$H$5000))+SUMPRODUCT(('Libro Diario'!$A$10:$A$5000=$B$5)*('Libro Diario'!$E$10:$E$5000=3103004)*(YEAR('Libro Diario'!$C$10:$C$5000)=$F$5)*(MONTH('Libro Diario'!$C$10:$C$5000)=11)*('Libro Diario'!$H$10:$H$5000))+SUMPRODUCT(('Libro Diario'!$A$10:$A$5000=$B$5)*('Libro Diario'!$E$10:$E$5000=3103005)*(YEAR('Libro Diario'!$C$10:$C$5000)=$F$5)*(MONTH('Libro Diario'!$C$10:$C$5000)=11)*('Libro Diario'!$H$10:$H$5000))+SUMPRODUCT(('Libro Diario'!$A$10:$A$5000=$B$5)*('Libro Diario'!$E$10:$E$5000=3103006)*(YEAR('Libro Diario'!$C$10:$C$5000)=$F$5)*(MONTH('Libro Diario'!$C$10:$C$5000)=11)*('Libro Diario'!$H$10:$H$5000))+SUMPRODUCT(('Libro Diario'!$A$10:$A$5000=$B$5)*('Libro Diario'!$E$10:$E$5000=3103007)*(YEAR('Libro Diario'!$C$10:$C$5000)=$F$5)*(MONTH('Libro Diario'!$C$10:$C$5000)=11)*('Libro Diario'!$H$10:$H$5000))+SUMPRODUCT(('Libro Diario'!$A$10:$A$5000=$B$5)*('Libro Diario'!$E$10:$E$5000=3103008)*(YEAR('Libro Diario'!$C$10:$C$5000)=$F$5)*(MONTH('Libro Diario'!$C$10:$C$5000)=11)*('Libro Diario'!$H$10:$H$5000))+SUMPRODUCT(('Libro Diario'!$A$10:$A$5000=$B$5)*('Libro Diario'!$E$10:$E$5000=3103009)*(YEAR('Libro Diario'!$C$10:$C$5000)=$F$5)*(MONTH('Libro Diario'!$C$10:$C$5000)=11)*('Libro Diario'!$H$10:$H$5000))+SUMPRODUCT(('Libro Diario'!$A$10:$A$5000=$B$5)*('Libro Diario'!$E$10:$E$5000=3103010)*(YEAR('Libro Diario'!$C$10:$C$5000)=$F$5)*(MONTH('Libro Diario'!$C$10:$C$5000)=11)*('Libro Diario'!$H$10:$H$5000))+SUMPRODUCT(('Libro Diario'!$A$10:$A$5000=$B$5)*('Libro Diario'!$E$10:$E$5000=3201001)*(YEAR('Libro Diario'!$C$10:$C$5000)=$F$5)*(MONTH('Libro Diario'!$C$10:$C$5000)=11)*('Libro Diario'!$H$10:$H$5000)))</f>
        <v>0</v>
      </c>
      <c r="N63" s="258" t="n">
        <f aca="false">(SUMPRODUCT(('Libro Diario'!$A$10:$A$5000=$B$5)*('Libro Diario'!$E$10:$E$5000=3101001)*(YEAR('Libro Diario'!$C$10:$C$5000)=$F$5)*(MONTH('Libro Diario'!$C$10:$C$5000)=12)*('Libro Diario'!$H$10:$H$5000))+SUMPRODUCT(('Libro Diario'!$A$10:$A$5000=$B$5)*('Libro Diario'!$E$10:$E$5000=3103001)*(YEAR('Libro Diario'!$C$10:$C$5000)=$F$5)*(MONTH('Libro Diario'!$C$10:$C$5000)=12)*('Libro Diario'!$H$10:$H$5000))+SUMPRODUCT(('Libro Diario'!$A$10:$A$5000=$B$5)*('Libro Diario'!$E$10:$E$5000=3103002)*(YEAR('Libro Diario'!$C$10:$C$5000)=$F$5)*(MONTH('Libro Diario'!$C$10:$C$5000)=12)*('Libro Diario'!$H$10:$H$5000))+SUMPRODUCT(('Libro Diario'!$A$10:$A$5000=$B$5)*('Libro Diario'!$E$10:$E$5000=3103003)*(YEAR('Libro Diario'!$C$10:$C$5000)=$F$5)*(MONTH('Libro Diario'!$C$10:$C$5000)=12)*('Libro Diario'!$H$10:$H$5000))+SUMPRODUCT(('Libro Diario'!$A$10:$A$5000=$B$5)*('Libro Diario'!$E$10:$E$5000=3103004)*(YEAR('Libro Diario'!$C$10:$C$5000)=$F$5)*(MONTH('Libro Diario'!$C$10:$C$5000)=12)*('Libro Diario'!$H$10:$H$5000))+SUMPRODUCT(('Libro Diario'!$A$10:$A$5000=$B$5)*('Libro Diario'!$E$10:$E$5000=3103005)*(YEAR('Libro Diario'!$C$10:$C$5000)=$F$5)*(MONTH('Libro Diario'!$C$10:$C$5000)=12)*('Libro Diario'!$H$10:$H$5000))+SUMPRODUCT(('Libro Diario'!$A$10:$A$5000=$B$5)*('Libro Diario'!$E$10:$E$5000=3103006)*(YEAR('Libro Diario'!$C$10:$C$5000)=$F$5)*(MONTH('Libro Diario'!$C$10:$C$5000)=12)*('Libro Diario'!$H$10:$H$5000))+SUMPRODUCT(('Libro Diario'!$A$10:$A$5000=$B$5)*('Libro Diario'!$E$10:$E$5000=3103007)*(YEAR('Libro Diario'!$C$10:$C$5000)=$F$5)*(MONTH('Libro Diario'!$C$10:$C$5000)=12)*('Libro Diario'!$H$10:$H$5000))+SUMPRODUCT(('Libro Diario'!$A$10:$A$5000=$B$5)*('Libro Diario'!$E$10:$E$5000=3103008)*(YEAR('Libro Diario'!$C$10:$C$5000)=$F$5)*(MONTH('Libro Diario'!$C$10:$C$5000)=12)*('Libro Diario'!$H$10:$H$5000))+SUMPRODUCT(('Libro Diario'!$A$10:$A$5000=$B$5)*('Libro Diario'!$E$10:$E$5000=3103009)*(YEAR('Libro Diario'!$C$10:$C$5000)=$F$5)*(MONTH('Libro Diario'!$C$10:$C$5000)=12)*('Libro Diario'!$H$10:$H$5000))+SUMPRODUCT(('Libro Diario'!$A$10:$A$5000=$B$5)*('Libro Diario'!$E$10:$E$5000=3103010)*(YEAR('Libro Diario'!$C$10:$C$5000)=$F$5)*(MONTH('Libro Diario'!$C$10:$C$5000)=12)*('Libro Diario'!$H$10:$H$5000))+SUMPRODUCT(('Libro Diario'!$A$10:$A$5000=$B$5)*('Libro Diario'!$E$10:$E$5000=3201001)*(YEAR('Libro Diario'!$C$10:$C$5000)=$F$5)*(MONTH('Libro Diario'!$C$10:$C$5000)=12)*('Libro Diario'!$H$10:$H$5000)))</f>
        <v>0</v>
      </c>
      <c r="O63" s="258" t="n">
        <f aca="false">(SUMPRODUCT(('Libro Diario'!$A$10:$A$5000=$B$5)*('Libro Diario'!$E$10:$E$5000=3101001)*(YEAR('Libro Diario'!$C$10:$C$5000)=$F$5)*(MONTH('Libro Diario'!$C$10:$C$5000)=13)*('Libro Diario'!$H$10:$H$5000))+SUMPRODUCT(('Libro Diario'!$A$10:$A$5000=$B$5)*('Libro Diario'!$E$10:$E$5000=3103001)*(YEAR('Libro Diario'!$C$10:$C$5000)=$F$5)*(MONTH('Libro Diario'!$C$10:$C$5000)=13)*('Libro Diario'!$H$10:$H$5000))+SUMPRODUCT(('Libro Diario'!$A$10:$A$5000=$B$5)*('Libro Diario'!$E$10:$E$5000=3103002)*(YEAR('Libro Diario'!$C$10:$C$5000)=$F$5)*(MONTH('Libro Diario'!$C$10:$C$5000)=13)*('Libro Diario'!$H$10:$H$5000))+SUMPRODUCT(('Libro Diario'!$A$10:$A$5000=$B$5)*('Libro Diario'!$E$10:$E$5000=3103003)*(YEAR('Libro Diario'!$C$10:$C$5000)=$F$5)*(MONTH('Libro Diario'!$C$10:$C$5000)=13)*('Libro Diario'!$H$10:$H$5000))+SUMPRODUCT(('Libro Diario'!$A$10:$A$5000=$B$5)*('Libro Diario'!$E$10:$E$5000=3103004)*(YEAR('Libro Diario'!$C$10:$C$5000)=$F$5)*(MONTH('Libro Diario'!$C$10:$C$5000)=13)*('Libro Diario'!$H$10:$H$5000))+SUMPRODUCT(('Libro Diario'!$A$10:$A$5000=$B$5)*('Libro Diario'!$E$10:$E$5000=3103005)*(YEAR('Libro Diario'!$C$10:$C$5000)=$F$5)*(MONTH('Libro Diario'!$C$10:$C$5000)=13)*('Libro Diario'!$H$10:$H$5000))+SUMPRODUCT(('Libro Diario'!$A$10:$A$5000=$B$5)*('Libro Diario'!$E$10:$E$5000=3103006)*(YEAR('Libro Diario'!$C$10:$C$5000)=$F$5)*(MONTH('Libro Diario'!$C$10:$C$5000)=13)*('Libro Diario'!$H$10:$H$5000))+SUMPRODUCT(('Libro Diario'!$A$10:$A$5000=$B$5)*('Libro Diario'!$E$10:$E$5000=3103007)*(YEAR('Libro Diario'!$C$10:$C$5000)=$F$5)*(MONTH('Libro Diario'!$C$10:$C$5000)=13)*('Libro Diario'!$H$10:$H$5000))+SUMPRODUCT(('Libro Diario'!$A$10:$A$5000=$B$5)*('Libro Diario'!$E$10:$E$5000=3103008)*(YEAR('Libro Diario'!$C$10:$C$5000)=$F$5)*(MONTH('Libro Diario'!$C$10:$C$5000)=13)*('Libro Diario'!$H$10:$H$5000))+SUMPRODUCT(('Libro Diario'!$A$10:$A$5000=$B$5)*('Libro Diario'!$E$10:$E$5000=3103009)*(YEAR('Libro Diario'!$C$10:$C$5000)=$F$5)*(MONTH('Libro Diario'!$C$10:$C$5000)=13)*('Libro Diario'!$H$10:$H$5000))+SUMPRODUCT(('Libro Diario'!$A$10:$A$5000=$B$5)*('Libro Diario'!$E$10:$E$5000=3103010)*(YEAR('Libro Diario'!$C$10:$C$5000)=$F$5)*(MONTH('Libro Diario'!$C$10:$C$5000)=13)*('Libro Diario'!$H$10:$H$5000))+SUMPRODUCT(('Libro Diario'!$A$10:$A$5000=$B$5)*('Libro Diario'!$E$10:$E$5000=3201001)*(YEAR('Libro Diario'!$C$10:$C$5000)=$F$5)*(MONTH('Libro Diario'!$C$10:$C$5000)=13)*('Libro Diario'!$H$10:$H$5000)))</f>
        <v>0</v>
      </c>
      <c r="P63" s="257" t="n">
        <f aca="false">SUM(C63:N63)</f>
        <v>0</v>
      </c>
    </row>
    <row r="64" customFormat="false" ht="18" hidden="false" customHeight="true" outlineLevel="0" collapsed="false">
      <c r="B64" s="254" t="s">
        <v>983</v>
      </c>
      <c r="C64" s="259" t="n">
        <f aca="false">C62-C63</f>
        <v>0</v>
      </c>
      <c r="D64" s="259" t="n">
        <f aca="false">D62-D63</f>
        <v>0</v>
      </c>
      <c r="E64" s="259" t="n">
        <f aca="false">E62-E63</f>
        <v>0</v>
      </c>
      <c r="F64" s="259" t="n">
        <f aca="false">F62-F63</f>
        <v>0</v>
      </c>
      <c r="G64" s="259" t="n">
        <f aca="false">G62-G63</f>
        <v>0</v>
      </c>
      <c r="H64" s="259" t="n">
        <f aca="false">H62-H63</f>
        <v>0</v>
      </c>
      <c r="I64" s="259" t="n">
        <f aca="false">I62-I63</f>
        <v>0</v>
      </c>
      <c r="J64" s="259" t="n">
        <f aca="false">J62-J63</f>
        <v>0</v>
      </c>
      <c r="K64" s="259" t="n">
        <f aca="false">K62-K63</f>
        <v>0</v>
      </c>
      <c r="L64" s="259" t="n">
        <f aca="false">L62-L63</f>
        <v>0</v>
      </c>
      <c r="M64" s="259" t="n">
        <f aca="false">M62-M63</f>
        <v>0</v>
      </c>
      <c r="N64" s="259" t="n">
        <f aca="false">N62-N63</f>
        <v>0</v>
      </c>
      <c r="O64" s="259" t="n">
        <f aca="false">O62-O63</f>
        <v>0</v>
      </c>
      <c r="P64" s="259" t="n">
        <f aca="false">P62-P63</f>
        <v>0</v>
      </c>
    </row>
    <row r="65" customFormat="false" ht="18" hidden="false" customHeight="true" outlineLevel="0" collapsed="false"/>
    <row r="66" customFormat="false" ht="36" hidden="false" customHeight="true" outlineLevel="0" collapsed="false">
      <c r="B66" s="260" t="s">
        <v>984</v>
      </c>
      <c r="C66" s="260"/>
      <c r="D66" s="260"/>
      <c r="E66" s="260"/>
      <c r="F66" s="260"/>
      <c r="G66" s="260"/>
      <c r="H66" s="260"/>
      <c r="I66" s="260"/>
      <c r="J66" s="260"/>
      <c r="K66" s="260"/>
      <c r="L66" s="260"/>
      <c r="M66" s="260"/>
      <c r="N66" s="260"/>
      <c r="O66" s="260"/>
      <c r="P66" s="260"/>
    </row>
    <row r="67" customFormat="false" ht="18" hidden="false" customHeight="true" outlineLevel="0" collapsed="false"/>
    <row r="68" customFormat="false" ht="18" hidden="false" customHeight="true" outlineLevel="0" collapsed="false"/>
    <row r="69" customFormat="false" ht="18" hidden="false" customHeight="true" outlineLevel="0" collapsed="false"/>
    <row r="70" customFormat="false" ht="18" hidden="false" customHeight="true" outlineLevel="0" collapsed="false"/>
    <row r="71" customFormat="false" ht="18" hidden="false" customHeight="true" outlineLevel="0" collapsed="false"/>
    <row r="72" customFormat="false" ht="18" hidden="false" customHeight="true" outlineLevel="0" collapsed="false"/>
    <row r="73" customFormat="false" ht="18" hidden="false" customHeight="true" outlineLevel="0" collapsed="false"/>
    <row r="74" customFormat="false" ht="18" hidden="false" customHeight="true" outlineLevel="0" collapsed="false"/>
    <row r="75" customFormat="false" ht="18" hidden="false" customHeight="true" outlineLevel="0" collapsed="false"/>
    <row r="76" customFormat="false" ht="18" hidden="false" customHeight="true" outlineLevel="0" collapsed="false"/>
    <row r="77" customFormat="false" ht="18" hidden="false" customHeight="true" outlineLevel="0" collapsed="false"/>
    <row r="78" customFormat="false" ht="18" hidden="false" customHeight="true" outlineLevel="0" collapsed="false"/>
    <row r="79" customFormat="false" ht="18" hidden="false" customHeight="true" outlineLevel="0" collapsed="false"/>
    <row r="80" customFormat="false" ht="18" hidden="false" customHeight="true" outlineLevel="0" collapsed="false"/>
    <row r="81" customFormat="false" ht="18" hidden="false" customHeight="true" outlineLevel="0" collapsed="false"/>
    <row r="82" customFormat="false" ht="18" hidden="false" customHeight="true" outlineLevel="0" collapsed="false"/>
    <row r="83" customFormat="false" ht="18" hidden="false" customHeight="true" outlineLevel="0" collapsed="false"/>
    <row r="84" customFormat="false" ht="18" hidden="false" customHeight="true" outlineLevel="0" collapsed="false"/>
    <row r="85" customFormat="false" ht="18" hidden="false" customHeight="true" outlineLevel="0" collapsed="false"/>
    <row r="86" customFormat="false" ht="18" hidden="false" customHeight="true" outlineLevel="0" collapsed="false"/>
    <row r="87" customFormat="false" ht="18" hidden="false" customHeight="true" outlineLevel="0" collapsed="false"/>
    <row r="88" customFormat="false" ht="18" hidden="false" customHeight="true" outlineLevel="0" collapsed="false"/>
    <row r="89" customFormat="false" ht="18" hidden="false" customHeight="true" outlineLevel="0" collapsed="false"/>
    <row r="90" customFormat="false" ht="18" hidden="false" customHeight="true" outlineLevel="0" collapsed="false"/>
    <row r="91" customFormat="false" ht="18" hidden="false" customHeight="true" outlineLevel="0" collapsed="false"/>
    <row r="92" customFormat="false" ht="18" hidden="false" customHeight="true" outlineLevel="0" collapsed="false"/>
    <row r="93" customFormat="false" ht="18" hidden="false" customHeight="true" outlineLevel="0" collapsed="false"/>
    <row r="94" customFormat="false" ht="18" hidden="false" customHeight="true" outlineLevel="0" collapsed="false"/>
    <row r="95" customFormat="false" ht="18" hidden="false" customHeight="true" outlineLevel="0" collapsed="false"/>
    <row r="96" customFormat="false" ht="18" hidden="false" customHeight="true" outlineLevel="0" collapsed="false"/>
    <row r="97" customFormat="false" ht="18" hidden="false" customHeight="true" outlineLevel="0" collapsed="false"/>
    <row r="98" customFormat="false" ht="18" hidden="false" customHeight="true" outlineLevel="0" collapsed="false"/>
    <row r="99" customFormat="false" ht="18" hidden="false" customHeight="true" outlineLevel="0" collapsed="false"/>
    <row r="100" customFormat="false" ht="18" hidden="false" customHeight="true" outlineLevel="0" collapsed="false"/>
    <row r="101" customFormat="false" ht="18" hidden="false" customHeight="true" outlineLevel="0" collapsed="false"/>
    <row r="102" customFormat="false" ht="18" hidden="false" customHeight="true" outlineLevel="0" collapsed="false"/>
    <row r="103" customFormat="false" ht="18" hidden="false" customHeight="true" outlineLevel="0" collapsed="false"/>
    <row r="104" customFormat="false" ht="18" hidden="false" customHeight="true" outlineLevel="0" collapsed="false"/>
    <row r="105" customFormat="false" ht="18" hidden="false" customHeight="true" outlineLevel="0" collapsed="false"/>
    <row r="106" customFormat="false" ht="18" hidden="false" customHeight="true" outlineLevel="0" collapsed="false"/>
    <row r="107" customFormat="false" ht="18" hidden="false" customHeight="true" outlineLevel="0" collapsed="false"/>
    <row r="108" customFormat="false" ht="18" hidden="false" customHeight="true" outlineLevel="0" collapsed="false"/>
    <row r="109" customFormat="false" ht="18" hidden="false" customHeight="true" outlineLevel="0" collapsed="false"/>
    <row r="110" customFormat="false" ht="18" hidden="false" customHeight="true" outlineLevel="0" collapsed="false"/>
    <row r="111" customFormat="false" ht="18" hidden="false" customHeight="true" outlineLevel="0" collapsed="false"/>
    <row r="112" customFormat="false" ht="18" hidden="false" customHeight="true" outlineLevel="0" collapsed="false"/>
    <row r="113" customFormat="false" ht="18" hidden="false" customHeight="true" outlineLevel="0" collapsed="false"/>
    <row r="114" customFormat="false" ht="18" hidden="false" customHeight="true" outlineLevel="0" collapsed="false"/>
    <row r="115" customFormat="false" ht="18" hidden="false" customHeight="true" outlineLevel="0" collapsed="false"/>
    <row r="116" customFormat="false" ht="18" hidden="false" customHeight="true" outlineLevel="0" collapsed="false"/>
    <row r="117" customFormat="false" ht="18" hidden="false" customHeight="true" outlineLevel="0" collapsed="false"/>
    <row r="118" customFormat="false" ht="18" hidden="false" customHeight="true" outlineLevel="0" collapsed="false"/>
    <row r="119" customFormat="false" ht="18" hidden="false" customHeight="true" outlineLevel="0" collapsed="false"/>
    <row r="120" customFormat="false" ht="18" hidden="false" customHeight="true" outlineLevel="0" collapsed="false"/>
    <row r="121" customFormat="false" ht="18" hidden="false" customHeight="true" outlineLevel="0" collapsed="false"/>
    <row r="122" customFormat="false" ht="18" hidden="false" customHeight="true" outlineLevel="0" collapsed="false"/>
    <row r="123" customFormat="false" ht="18" hidden="false" customHeight="true" outlineLevel="0" collapsed="false"/>
    <row r="124" customFormat="false" ht="18" hidden="false" customHeight="true" outlineLevel="0" collapsed="false"/>
    <row r="125" customFormat="false" ht="18" hidden="false" customHeight="true" outlineLevel="0" collapsed="false"/>
    <row r="126" customFormat="false" ht="18" hidden="false" customHeight="true" outlineLevel="0" collapsed="false"/>
    <row r="127" customFormat="false" ht="18" hidden="false" customHeight="true" outlineLevel="0" collapsed="false"/>
    <row r="128" customFormat="false" ht="18" hidden="false" customHeight="true" outlineLevel="0" collapsed="false"/>
    <row r="129" customFormat="false" ht="18" hidden="false" customHeight="true" outlineLevel="0" collapsed="false"/>
    <row r="130" customFormat="false" ht="18" hidden="false" customHeight="true" outlineLevel="0" collapsed="false"/>
    <row r="131" customFormat="false" ht="18" hidden="false" customHeight="true" outlineLevel="0" collapsed="false"/>
    <row r="132" customFormat="false" ht="18" hidden="false" customHeight="true" outlineLevel="0" collapsed="false"/>
    <row r="133" customFormat="false" ht="18" hidden="false" customHeight="true" outlineLevel="0" collapsed="false"/>
    <row r="134" customFormat="false" ht="18" hidden="false" customHeight="true" outlineLevel="0" collapsed="false"/>
    <row r="135" customFormat="false" ht="18" hidden="false" customHeight="true" outlineLevel="0" collapsed="false"/>
    <row r="136" customFormat="false" ht="18" hidden="false" customHeight="true" outlineLevel="0" collapsed="false"/>
    <row r="137" customFormat="false" ht="18" hidden="false" customHeight="true" outlineLevel="0" collapsed="false"/>
    <row r="138" customFormat="false" ht="18" hidden="false" customHeight="true" outlineLevel="0" collapsed="false"/>
    <row r="139" customFormat="false" ht="18" hidden="false" customHeight="true" outlineLevel="0" collapsed="false"/>
    <row r="140" customFormat="false" ht="18" hidden="false" customHeight="true" outlineLevel="0" collapsed="false"/>
    <row r="141" customFormat="false" ht="18" hidden="false" customHeight="true" outlineLevel="0" collapsed="false"/>
    <row r="142" customFormat="false" ht="18" hidden="false" customHeight="true" outlineLevel="0" collapsed="false"/>
    <row r="143" customFormat="false" ht="18" hidden="false" customHeight="true" outlineLevel="0" collapsed="false"/>
    <row r="144" customFormat="false" ht="18" hidden="false" customHeight="true" outlineLevel="0" collapsed="false"/>
    <row r="145" customFormat="false" ht="18" hidden="false" customHeight="true" outlineLevel="0" collapsed="false"/>
    <row r="146" customFormat="false" ht="18" hidden="false" customHeight="true" outlineLevel="0" collapsed="false"/>
    <row r="147" customFormat="false" ht="18" hidden="false" customHeight="true" outlineLevel="0" collapsed="false"/>
    <row r="148" customFormat="false" ht="18" hidden="false" customHeight="true" outlineLevel="0" collapsed="false"/>
    <row r="149" customFormat="false" ht="18" hidden="false" customHeight="true" outlineLevel="0" collapsed="false"/>
    <row r="150" customFormat="false" ht="15" hidden="false" customHeight="true" outlineLevel="0" collapsed="false">
      <c r="J150" s="1" t="n">
        <f aca="false">SUMPRODUCT(('Libro Diario'!$A$10:$A$5000=$B$5)*('Libro Diario'!$E$10:$E$5000=1101001)*(YEAR('Libro Diario'!$C$10:$C$5000)=$F$5)*('Libro Diario'!$H$10:$H$5000))-SUMPRODUCT(('Libro Diario'!$A$10:$A$5000=$B$5)*('Libro Diario'!$E$10:$E$5000=1101001)*(YEAR('Libro Diario'!$C$10:$C$5000)=$F$5)*('Libro Diario'!$I$10:$I$5000))+SUMPRODUCT(('Libro Diario'!$A$10:$A$5000=$B$5)*('Libro Diario'!$E$10:$E$5000=1101002)*(YEAR('Libro Diario'!$C$10:$C$5000)=$F$5)*('Libro Diario'!$H$10:$H$5000))-SUMPRODUCT(('Libro Diario'!$A$10:$A$5000=$B$5)*('Libro Diario'!$E$10:$E$5000=1101002)*(YEAR('Libro Diario'!$C$10:$C$5000)=$F$5)*('Libro Diario'!$I$10:$I$5000))</f>
        <v>0</v>
      </c>
      <c r="K150" s="1" t="n">
        <f aca="false">(SUMPRODUCT(('Libro Diario'!$A$10:$A$5000=$B$5)*('Libro Diario'!$E$10:$E$5000=3103001)*(YEAR('Libro Diario'!$C$10:$C$5000)=$F$5)*('Libro Diario'!$H$10:$H$5000))+SUMPRODUCT(('Libro Diario'!$A$10:$A$5000=$B$5)*('Libro Diario'!$E$10:$E$5000=3103002)*(YEAR('Libro Diario'!$C$10:$C$5000)=$F$5)*('Libro Diario'!$H$10:$H$5000))+SUMPRODUCT(('Libro Diario'!$A$10:$A$5000=$B$5)*('Libro Diario'!$E$10:$E$5000=3103003)*(YEAR('Libro Diario'!$C$10:$C$5000)=$F$5)*('Libro Diario'!$H$10:$H$5000))+SUMPRODUCT(('Libro Diario'!$A$10:$A$5000=$B$5)*('Libro Diario'!$E$10:$E$5000=3103004)*(YEAR('Libro Diario'!$C$10:$C$5000)=$F$5)*('Libro Diario'!$H$10:$H$5000))+SUMPRODUCT(('Libro Diario'!$A$10:$A$5000=$B$5)*('Libro Diario'!$E$10:$E$5000=3103005)*(YEAR('Libro Diario'!$C$10:$C$5000)=$F$5)*('Libro Diario'!$H$10:$H$5000))+SUMPRODUCT(('Libro Diario'!$A$10:$A$5000=$B$5)*('Libro Diario'!$E$10:$E$5000=3103006)*(YEAR('Libro Diario'!$C$10:$C$5000)=$F$5)*('Libro Diario'!$H$10:$H$5000))+SUMPRODUCT(('Libro Diario'!$A$10:$A$5000=$B$5)*('Libro Diario'!$E$10:$E$5000=3103007)*(YEAR('Libro Diario'!$C$10:$C$5000)=$F$5)*('Libro Diario'!$H$10:$H$5000))+SUMPRODUCT(('Libro Diario'!$A$10:$A$5000=$B$5)*('Libro Diario'!$E$10:$E$5000=3103008)*(YEAR('Libro Diario'!$C$10:$C$5000)=$F$5)*('Libro Diario'!$H$10:$H$5000))+SUMPRODUCT(('Libro Diario'!$A$10:$A$5000=$B$5)*('Libro Diario'!$E$10:$E$5000=3103009)*(YEAR('Libro Diario'!$C$10:$C$5000)=$F$5)*('Libro Diario'!$H$10:$H$5000))+SUMPRODUCT(('Libro Diario'!$A$10:$A$5000=$B$5)*('Libro Diario'!$E$10:$E$5000=3103010)*(YEAR('Libro Diario'!$C$10:$C$5000)=$F$5)*('Libro Diario'!$H$10:$H$5000)))/12</f>
        <v>0</v>
      </c>
      <c r="L150" s="1" t="n">
        <f aca="false">(SUMPRODUCT(('Libro Diario'!$A$10:$A$5000=$B$5)*('Libro Diario'!$E$10:$E$5000=4101001)*(YEAR('Libro Diario'!$C$10:$C$5000)=$F$5)*('Libro Diario'!$I$10:$I$5000))+SUMPRODUCT(('Libro Diario'!$A$10:$A$5000=$B$5)*('Libro Diario'!$E$10:$E$5000=4101002)*(YEAR('Libro Diario'!$C$10:$C$5000)=$F$5)*('Libro Diario'!$I$10:$I$5000))+SUMPRODUCT(('Libro Diario'!$A$10:$A$5000=$B$5)*('Libro Diario'!$E$10:$E$5000=4101003)*(YEAR('Libro Diario'!$C$10:$C$5000)=$F$5)*('Libro Diario'!$I$10:$I$5000))+SUMPRODUCT(('Libro Diario'!$A$10:$A$5000=$B$5)*('Libro Diario'!$E$10:$E$5000=4201001)*(YEAR('Libro Diario'!$C$10:$C$5000)=$F$5)*('Libro Diario'!$I$10:$I$5000)))</f>
        <v>0</v>
      </c>
      <c r="M150" s="1" t="n">
        <f aca="false">(SUMPRODUCT(('Libro Diario'!$A$10:$A$5000=$B$5)*('Libro Diario'!$E$10:$E$5000=3101001)*(YEAR('Libro Diario'!$C$10:$C$5000)=$F$5)*('Libro Diario'!$H$10:$H$5000))+SUMPRODUCT(('Libro Diario'!$A$10:$A$5000=$B$5)*('Libro Diario'!$E$10:$E$5000=3103001)*(YEAR('Libro Diario'!$C$10:$C$5000)=$F$5)*('Libro Diario'!$H$10:$H$5000))+SUMPRODUCT(('Libro Diario'!$A$10:$A$5000=$B$5)*('Libro Diario'!$E$10:$E$5000=3103002)*(YEAR('Libro Diario'!$C$10:$C$5000)=$F$5)*('Libro Diario'!$H$10:$H$5000))+SUMPRODUCT(('Libro Diario'!$A$10:$A$5000=$B$5)*('Libro Diario'!$E$10:$E$5000=3103003)*(YEAR('Libro Diario'!$C$10:$C$5000)=$F$5)*('Libro Diario'!$H$10:$H$5000))+SUMPRODUCT(('Libro Diario'!$A$10:$A$5000=$B$5)*('Libro Diario'!$E$10:$E$5000=3103004)*(YEAR('Libro Diario'!$C$10:$C$5000)=$F$5)*('Libro Diario'!$H$10:$H$5000))+SUMPRODUCT(('Libro Diario'!$A$10:$A$5000=$B$5)*('Libro Diario'!$E$10:$E$5000=3103005)*(YEAR('Libro Diario'!$C$10:$C$5000)=$F$5)*('Libro Diario'!$H$10:$H$5000))+SUMPRODUCT(('Libro Diario'!$A$10:$A$5000=$B$5)*('Libro Diario'!$E$10:$E$5000=3103006)*(YEAR('Libro Diario'!$C$10:$C$5000)=$F$5)*('Libro Diario'!$H$10:$H$5000))+SUMPRODUCT(('Libro Diario'!$A$10:$A$5000=$B$5)*('Libro Diario'!$E$10:$E$5000=3103007)*(YEAR('Libro Diario'!$C$10:$C$5000)=$F$5)*('Libro Diario'!$H$10:$H$5000))+SUMPRODUCT(('Libro Diario'!$A$10:$A$5000=$B$5)*('Libro Diario'!$E$10:$E$5000=3103008)*(YEAR('Libro Diario'!$C$10:$C$5000)=$F$5)*('Libro Diario'!$H$10:$H$5000))+SUMPRODUCT(('Libro Diario'!$A$10:$A$5000=$B$5)*('Libro Diario'!$E$10:$E$5000=3103009)*(YEAR('Libro Diario'!$C$10:$C$5000)=$F$5)*('Libro Diario'!$H$10:$H$5000))+SUMPRODUCT(('Libro Diario'!$A$10:$A$5000=$B$5)*('Libro Diario'!$E$10:$E$5000=3103010)*(YEAR('Libro Diario'!$C$10:$C$5000)=$F$5)*('Libro Diario'!$H$10:$H$5000))+SUMPRODUCT(('Libro Diario'!$A$10:$A$5000=$B$5)*('Libro Diario'!$E$10:$E$5000=3201001)*(YEAR('Libro Diario'!$C$10:$C$5000)=$F$5)*('Libro Diario'!$H$10:$H$5000)))</f>
        <v>0</v>
      </c>
      <c r="N150" s="1" t="n">
        <f aca="false">SUMPRODUCT(('Libro Diario'!$A$10:$A$5000=$B$5)*('Libro Diario'!$E$10:$E$5000=3201001)*(YEAR('Libro Diario'!$C$10:$C$5000)=$F$5)*('Libro Diario'!$H$10:$H$5000))</f>
        <v>0</v>
      </c>
      <c r="O150" s="1" t="n">
        <f aca="false">(((SUMPRODUCT(('Libro Diario'!$A$10:$A$5000=$B$5)*('Libro Diario'!$E$10:$E$5000=2102001)*(YEAR('Libro Diario'!$C$10:$C$5000)=$F$5)*('Libro Diario'!$I$10:$I$5000)))-(SUMPRODUCT(('Libro Diario'!$A$10:$A$5000=$B$5)*('Libro Diario'!$E$10:$E$5000=2102001)*(YEAR('Libro Diario'!$C$10:$C$5000)=$F$5)*('Libro Diario'!$H$10:$H$5000))))+((SUMPRODUCT(('Libro Diario'!$A$10:$A$5000=$B$5)*('Libro Diario'!$E$10:$E$5000=2103001)*(YEAR('Libro Diario'!$C$10:$C$5000)=$F$5)*('Libro Diario'!$I$10:$I$5000)))-(SUMPRODUCT(('Libro Diario'!$A$10:$A$5000=$B$5)*('Libro Diario'!$E$10:$E$5000=2103001)*(YEAR('Libro Diario'!$C$10:$C$5000)=$F$5)*('Libro Diario'!$H$10:$H$5000))))+((SUMPRODUCT(('Libro Diario'!$A$10:$A$5000=$B$5)*('Libro Diario'!$E$10:$E$5000=2104001)*(YEAR('Libro Diario'!$C$10:$C$5000)=$F$5)*('Libro Diario'!$I$10:$I$5000)))-(SUMPRODUCT(('Libro Diario'!$A$10:$A$5000=$B$5)*('Libro Diario'!$E$10:$E$5000=2104001)*(YEAR('Libro Diario'!$C$10:$C$5000)=$F$5)*('Libro Diario'!$H$10:$H$5000))))+((SUMPRODUCT(('Libro Diario'!$A$10:$A$5000=$B$5)*('Libro Diario'!$E$10:$E$5000=2105101)*(YEAR('Libro Diario'!$C$10:$C$5000)=$F$5)*('Libro Diario'!$I$10:$I$5000)))-(SUMPRODUCT(('Libro Diario'!$A$10:$A$5000=$B$5)*('Libro Diario'!$E$10:$E$5000=2105101)*(YEAR('Libro Diario'!$C$10:$C$5000)=$F$5)*('Libro Diario'!$H$10:$H$5000))))+((SUMPRODUCT(('Libro Diario'!$A$10:$A$5000=$B$5)*('Libro Diario'!$E$10:$E$5000=2105005)*(YEAR('Libro Diario'!$C$10:$C$5000)=$F$5)*('Libro Diario'!$I$10:$I$5000)))-(SUMPRODUCT(('Libro Diario'!$A$10:$A$5000=$B$5)*('Libro Diario'!$E$10:$E$5000=2105005)*(YEAR('Libro Diario'!$C$10:$C$5000)=$F$5)*('Libro Diario'!$H$10:$H$5000))))+((SUMPRODUCT(('Libro Diario'!$A$10:$A$5000=$B$5)*('Libro Diario'!$E$10:$E$5000=2106001)*(YEAR('Libro Diario'!$C$10:$C$5000)=$F$5)*('Libro Diario'!$I$10:$I$5000)))-(SUMPRODUCT(('Libro Diario'!$A$10:$A$5000=$B$5)*('Libro Diario'!$E$10:$E$5000=2106001)*(YEAR('Libro Diario'!$C$10:$C$5000)=$F$5)*('Libro Diario'!$H$10:$H$5000))))+((SUMPRODUCT(('Libro Diario'!$A$10:$A$5000=$B$5)*('Libro Diario'!$E$10:$E$5000=2107001)*(YEAR('Libro Diario'!$C$10:$C$5000)=$F$5)*('Libro Diario'!$I$10:$I$5000)))-(SUMPRODUCT(('Libro Diario'!$A$10:$A$5000=$B$5)*('Libro Diario'!$E$10:$E$5000=2107001)*(YEAR('Libro Diario'!$C$10:$C$5000)=$F$5)*('Libro Diario'!$H$10:$H$5000))))+((SUMPRODUCT(('Libro Diario'!$A$10:$A$5000=$B$5)*('Libro Diario'!$E$10:$E$5000=2108001)*(YEAR('Libro Diario'!$C$10:$C$5000)=$F$5)*('Libro Diario'!$I$10:$I$5000)))-(SUMPRODUCT(('Libro Diario'!$A$10:$A$5000=$B$5)*('Libro Diario'!$E$10:$E$5000=2108001)*(YEAR('Libro Diario'!$C$10:$C$5000)=$F$5)*('Libro Diario'!$H$10:$H$5000)))))</f>
        <v>0</v>
      </c>
      <c r="P150" s="1" t="n">
        <f aca="false">$L$150-$M$150</f>
        <v>0</v>
      </c>
      <c r="Q150" s="1" t="n">
        <f aca="false">SUMPRODUCT(('Libro Diario'!$A$10:$A$5000=$B$5)*('Libro Diario'!$E$10:$E$5000=1104001)*(YEAR('Libro Diario'!$C$10:$C$5000)=$F$5)*('Libro Diario'!$H$10:$H$5000))-SUMPRODUCT(('Libro Diario'!$A$10:$A$5000=$B$5)*('Libro Diario'!$E$10:$E$5000=1104001)*(YEAR('Libro Diario'!$C$10:$C$5000)=$F$5)*('Libro Diario'!$I$10:$I$5000))</f>
        <v>0</v>
      </c>
    </row>
    <row r="151" customFormat="false" ht="18" hidden="false" customHeight="true" outlineLevel="0" collapsed="false"/>
    <row r="152" customFormat="false" ht="18" hidden="false" customHeight="true" outlineLevel="0" collapsed="false"/>
    <row r="153" customFormat="false" ht="18" hidden="false" customHeight="true" outlineLevel="0" collapsed="false"/>
    <row r="154" customFormat="false" ht="18" hidden="false" customHeight="true" outlineLevel="0" collapsed="false"/>
    <row r="155" customFormat="false" ht="18" hidden="false" customHeight="true" outlineLevel="0" collapsed="false"/>
    <row r="156" customFormat="false" ht="18" hidden="false" customHeight="true" outlineLevel="0" collapsed="false"/>
    <row r="157" customFormat="false" ht="18" hidden="false" customHeight="true" outlineLevel="0" collapsed="false"/>
    <row r="158" customFormat="false" ht="18" hidden="false" customHeight="true" outlineLevel="0" collapsed="false"/>
    <row r="159" customFormat="false" ht="18" hidden="false" customHeight="true" outlineLevel="0" collapsed="false"/>
    <row r="160" customFormat="false" ht="18" hidden="false" customHeight="true" outlineLevel="0" collapsed="false"/>
    <row r="161" customFormat="false" ht="18" hidden="false" customHeight="true" outlineLevel="0" collapsed="false"/>
    <row r="162" customFormat="false" ht="18" hidden="false" customHeight="true" outlineLevel="0" collapsed="false"/>
    <row r="163" customFormat="false" ht="18" hidden="false" customHeight="true" outlineLevel="0" collapsed="false"/>
    <row r="164" customFormat="false" ht="18" hidden="false" customHeight="true" outlineLevel="0" collapsed="false"/>
    <row r="165" customFormat="false" ht="18" hidden="false" customHeight="true" outlineLevel="0" collapsed="false"/>
    <row r="166" customFormat="false" ht="18" hidden="false" customHeight="true" outlineLevel="0" collapsed="false"/>
    <row r="167" customFormat="false" ht="18" hidden="false" customHeight="true" outlineLevel="0" collapsed="false"/>
    <row r="168" customFormat="false" ht="18" hidden="false" customHeight="true" outlineLevel="0" collapsed="false"/>
    <row r="169" customFormat="false" ht="18" hidden="false" customHeight="true" outlineLevel="0" collapsed="false"/>
    <row r="170" customFormat="false" ht="18" hidden="false" customHeight="true" outlineLevel="0" collapsed="false"/>
    <row r="171" customFormat="false" ht="18" hidden="false" customHeight="true" outlineLevel="0" collapsed="false"/>
    <row r="172" customFormat="false" ht="18" hidden="false" customHeight="true" outlineLevel="0" collapsed="false"/>
    <row r="173" customFormat="false" ht="18" hidden="false" customHeight="true" outlineLevel="0" collapsed="false"/>
    <row r="174" customFormat="false" ht="18" hidden="false" customHeight="true" outlineLevel="0" collapsed="false"/>
    <row r="175" customFormat="false" ht="18" hidden="false" customHeight="true" outlineLevel="0" collapsed="false"/>
    <row r="176" customFormat="false" ht="18" hidden="false" customHeight="true" outlineLevel="0" collapsed="false"/>
    <row r="177" customFormat="false" ht="18" hidden="false" customHeight="true" outlineLevel="0" collapsed="false"/>
    <row r="178" customFormat="false" ht="18" hidden="false" customHeight="true" outlineLevel="0" collapsed="false"/>
    <row r="179" customFormat="false" ht="18" hidden="false" customHeight="true" outlineLevel="0" collapsed="false"/>
    <row r="180" customFormat="false" ht="18" hidden="false" customHeight="true" outlineLevel="0" collapsed="false"/>
    <row r="181" customFormat="false" ht="18" hidden="false" customHeight="true" outlineLevel="0" collapsed="false"/>
    <row r="182" customFormat="false" ht="18" hidden="false" customHeight="true" outlineLevel="0" collapsed="false"/>
    <row r="183" customFormat="false" ht="18" hidden="false" customHeight="true" outlineLevel="0" collapsed="false"/>
    <row r="184" customFormat="false" ht="18" hidden="false" customHeight="true" outlineLevel="0" collapsed="false"/>
    <row r="185" customFormat="false" ht="18" hidden="false" customHeight="true" outlineLevel="0" collapsed="false"/>
    <row r="186" customFormat="false" ht="18" hidden="false" customHeight="true" outlineLevel="0" collapsed="false"/>
    <row r="187" customFormat="false" ht="18" hidden="false" customHeight="true" outlineLevel="0" collapsed="false"/>
    <row r="188" customFormat="false" ht="18" hidden="false" customHeight="true" outlineLevel="0" collapsed="false"/>
    <row r="189" customFormat="false" ht="18" hidden="false" customHeight="true" outlineLevel="0" collapsed="false"/>
    <row r="190" customFormat="false" ht="18" hidden="false" customHeight="true" outlineLevel="0" collapsed="false"/>
    <row r="191" customFormat="false" ht="18" hidden="false" customHeight="true" outlineLevel="0" collapsed="false"/>
    <row r="192" customFormat="false" ht="18" hidden="false" customHeight="true" outlineLevel="0" collapsed="false"/>
    <row r="193" customFormat="false" ht="18" hidden="false" customHeight="true" outlineLevel="0" collapsed="false"/>
    <row r="194" customFormat="false" ht="18" hidden="false" customHeight="true" outlineLevel="0" collapsed="false"/>
    <row r="195" customFormat="false" ht="18" hidden="false" customHeight="true" outlineLevel="0" collapsed="false"/>
    <row r="196" customFormat="false" ht="18" hidden="false" customHeight="true" outlineLevel="0" collapsed="false"/>
    <row r="197" customFormat="false" ht="18" hidden="false" customHeight="true" outlineLevel="0" collapsed="false"/>
    <row r="198" customFormat="false" ht="18" hidden="false" customHeight="true" outlineLevel="0" collapsed="false"/>
    <row r="199" customFormat="false" ht="18" hidden="false" customHeight="true" outlineLevel="0" collapsed="false"/>
  </sheetData>
  <mergeCells count="15">
    <mergeCell ref="B1:I1"/>
    <mergeCell ref="B2:I2"/>
    <mergeCell ref="B3:C3"/>
    <mergeCell ref="C4:D4"/>
    <mergeCell ref="B8:H8"/>
    <mergeCell ref="B10:C10"/>
    <mergeCell ref="B18:H18"/>
    <mergeCell ref="B22:H22"/>
    <mergeCell ref="B33:H33"/>
    <mergeCell ref="B35:H35"/>
    <mergeCell ref="B40:H40"/>
    <mergeCell ref="B45:H45"/>
    <mergeCell ref="B52:H52"/>
    <mergeCell ref="B60:H60"/>
    <mergeCell ref="B66:P66"/>
  </mergeCells>
  <dataValidations count="1">
    <dataValidation allowBlank="false" error="Seleccione un cliente válido de la lista." errorStyle="stop" errorTitle="Cliente inválido" operator="between" showDropDown="false" showErrorMessage="true" showInputMessage="false" sqref="B5" type="list">
      <formula1>Clientes!$A$4:$A$200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3935"/>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16"/>
    <col collapsed="false" customWidth="true" hidden="false" outlineLevel="0" max="4" min="4" style="1" width="18"/>
    <col collapsed="false" customWidth="true" hidden="false" outlineLevel="0" max="5" min="5" style="1" width="22"/>
    <col collapsed="false" customWidth="true" hidden="false" outlineLevel="0" max="6" min="6" style="1" width="55"/>
    <col collapsed="false" customWidth="true" hidden="false" outlineLevel="0" max="7" min="7" style="1" width="35"/>
    <col collapsed="false" customWidth="true" hidden="false" outlineLevel="0" max="8" min="8" style="1" width="40"/>
    <col collapsed="false" customWidth="true" hidden="false" outlineLevel="0" max="9" min="9" style="1" width="45"/>
    <col collapsed="false" customWidth="true" hidden="false" outlineLevel="0" max="10" min="10" style="1" width="14"/>
  </cols>
  <sheetData>
    <row r="1" customFormat="false" ht="36" hidden="false" customHeight="true" outlineLevel="0" collapsed="false">
      <c r="A1" s="261" t="s">
        <v>985</v>
      </c>
      <c r="B1" s="261"/>
      <c r="C1" s="261"/>
      <c r="D1" s="261"/>
      <c r="E1" s="261"/>
      <c r="F1" s="261"/>
      <c r="G1" s="261"/>
      <c r="H1" s="261"/>
      <c r="I1" s="261"/>
      <c r="J1" s="261"/>
    </row>
    <row r="2" customFormat="false" ht="19.5" hidden="false" customHeight="true" outlineLevel="0" collapsed="false">
      <c r="A2" s="262" t="s">
        <v>986</v>
      </c>
      <c r="B2" s="262"/>
      <c r="C2" s="262"/>
      <c r="D2" s="262"/>
      <c r="E2" s="262"/>
      <c r="F2" s="262"/>
      <c r="G2" s="262"/>
      <c r="H2" s="262"/>
      <c r="I2" s="262"/>
      <c r="J2" s="262"/>
    </row>
    <row r="3" customFormat="false" ht="19.5" hidden="false" customHeight="true" outlineLevel="0" collapsed="false">
      <c r="A3" s="263" t="s">
        <v>987</v>
      </c>
      <c r="B3" s="263"/>
      <c r="C3" s="263"/>
      <c r="D3" s="263"/>
      <c r="E3" s="263"/>
      <c r="F3" s="263"/>
      <c r="G3" s="263"/>
      <c r="H3" s="263"/>
      <c r="I3" s="263"/>
      <c r="J3" s="263"/>
    </row>
    <row r="5" customFormat="false" ht="24" hidden="false" customHeight="true" outlineLevel="0" collapsed="false">
      <c r="A5" s="264" t="s">
        <v>49</v>
      </c>
      <c r="B5" s="264" t="s">
        <v>988</v>
      </c>
      <c r="C5" s="264" t="s">
        <v>989</v>
      </c>
      <c r="D5" s="264" t="s">
        <v>287</v>
      </c>
      <c r="E5" s="264" t="s">
        <v>990</v>
      </c>
      <c r="F5" s="264" t="s">
        <v>991</v>
      </c>
      <c r="G5" s="264" t="s">
        <v>992</v>
      </c>
      <c r="H5" s="264" t="s">
        <v>993</v>
      </c>
      <c r="I5" s="264" t="s">
        <v>994</v>
      </c>
      <c r="J5" s="264" t="s">
        <v>995</v>
      </c>
    </row>
    <row r="6" customFormat="false" ht="60" hidden="false" customHeight="true" outlineLevel="0" collapsed="false">
      <c r="A6" s="265" t="n">
        <v>1</v>
      </c>
      <c r="B6" s="265" t="s">
        <v>996</v>
      </c>
      <c r="C6" s="265" t="s">
        <v>997</v>
      </c>
      <c r="D6" s="265" t="s">
        <v>998</v>
      </c>
      <c r="E6" s="265" t="s">
        <v>999</v>
      </c>
      <c r="F6" s="265" t="s">
        <v>1000</v>
      </c>
      <c r="G6" s="265" t="s">
        <v>1001</v>
      </c>
      <c r="H6" s="265" t="s">
        <v>1002</v>
      </c>
      <c r="I6" s="265" t="s">
        <v>1003</v>
      </c>
      <c r="J6" s="265" t="s">
        <v>1004</v>
      </c>
    </row>
    <row r="7" customFormat="false" ht="60" hidden="false" customHeight="true" outlineLevel="0" collapsed="false">
      <c r="A7" s="265" t="n">
        <v>2</v>
      </c>
      <c r="B7" s="265" t="s">
        <v>996</v>
      </c>
      <c r="C7" s="265" t="s">
        <v>997</v>
      </c>
      <c r="D7" s="265" t="s">
        <v>71</v>
      </c>
      <c r="E7" s="265" t="s">
        <v>998</v>
      </c>
      <c r="F7" s="265" t="s">
        <v>1005</v>
      </c>
      <c r="G7" s="265" t="s">
        <v>1006</v>
      </c>
      <c r="H7" s="265" t="s">
        <v>1007</v>
      </c>
      <c r="I7" s="265" t="s">
        <v>1008</v>
      </c>
      <c r="J7" s="265" t="s">
        <v>1004</v>
      </c>
    </row>
    <row r="8" customFormat="false" ht="60" hidden="false" customHeight="true" outlineLevel="0" collapsed="false">
      <c r="A8" s="265" t="n">
        <v>3</v>
      </c>
      <c r="B8" s="265" t="s">
        <v>996</v>
      </c>
      <c r="C8" s="265" t="s">
        <v>997</v>
      </c>
      <c r="D8" s="265" t="s">
        <v>77</v>
      </c>
      <c r="E8" s="265" t="s">
        <v>1009</v>
      </c>
      <c r="F8" s="265" t="s">
        <v>1010</v>
      </c>
      <c r="G8" s="265" t="s">
        <v>1011</v>
      </c>
      <c r="H8" s="265" t="s">
        <v>1012</v>
      </c>
      <c r="I8" s="265" t="s">
        <v>1013</v>
      </c>
      <c r="J8" s="265" t="s">
        <v>1004</v>
      </c>
    </row>
    <row r="9" customFormat="false" ht="60" hidden="false" customHeight="true" outlineLevel="0" collapsed="false">
      <c r="A9" s="266" t="n">
        <v>4</v>
      </c>
      <c r="B9" s="266" t="s">
        <v>1004</v>
      </c>
      <c r="C9" s="266" t="s">
        <v>997</v>
      </c>
      <c r="D9" s="266" t="s">
        <v>83</v>
      </c>
      <c r="E9" s="266" t="s">
        <v>998</v>
      </c>
      <c r="F9" s="266" t="s">
        <v>1014</v>
      </c>
      <c r="G9" s="266" t="s">
        <v>1015</v>
      </c>
      <c r="H9" s="266"/>
      <c r="I9" s="266"/>
      <c r="J9" s="266" t="s">
        <v>1004</v>
      </c>
    </row>
    <row r="10" customFormat="false" ht="60" hidden="false" customHeight="true" outlineLevel="0" collapsed="false">
      <c r="A10" s="266" t="n">
        <v>5</v>
      </c>
      <c r="B10" s="266" t="s">
        <v>1004</v>
      </c>
      <c r="C10" s="266" t="s">
        <v>997</v>
      </c>
      <c r="D10" s="266" t="s">
        <v>71</v>
      </c>
      <c r="E10" s="266" t="s">
        <v>1016</v>
      </c>
      <c r="F10" s="266" t="s">
        <v>1017</v>
      </c>
      <c r="G10" s="266" t="s">
        <v>1018</v>
      </c>
      <c r="H10" s="266"/>
      <c r="I10" s="266"/>
      <c r="J10" s="266" t="s">
        <v>1004</v>
      </c>
    </row>
    <row r="11" customFormat="false" ht="60" hidden="false" customHeight="true" outlineLevel="0" collapsed="false">
      <c r="A11" s="266" t="n">
        <v>6</v>
      </c>
      <c r="B11" s="266" t="s">
        <v>1004</v>
      </c>
      <c r="C11" s="266" t="s">
        <v>997</v>
      </c>
      <c r="D11" s="266" t="s">
        <v>59</v>
      </c>
      <c r="E11" s="266" t="s">
        <v>998</v>
      </c>
      <c r="F11" s="266" t="s">
        <v>1019</v>
      </c>
      <c r="G11" s="266" t="s">
        <v>1020</v>
      </c>
      <c r="H11" s="266"/>
      <c r="I11" s="266"/>
      <c r="J11" s="266" t="s">
        <v>1004</v>
      </c>
    </row>
    <row r="12" customFormat="false" ht="60" hidden="false" customHeight="true" outlineLevel="0" collapsed="false">
      <c r="A12" s="266" t="n">
        <v>7</v>
      </c>
      <c r="B12" s="266" t="s">
        <v>1004</v>
      </c>
      <c r="C12" s="266" t="s">
        <v>997</v>
      </c>
      <c r="D12" s="266" t="s">
        <v>194</v>
      </c>
      <c r="E12" s="266" t="s">
        <v>998</v>
      </c>
      <c r="F12" s="266" t="s">
        <v>1021</v>
      </c>
      <c r="G12" s="266" t="s">
        <v>1022</v>
      </c>
      <c r="H12" s="266"/>
      <c r="I12" s="266"/>
      <c r="J12" s="266" t="s">
        <v>1004</v>
      </c>
    </row>
    <row r="13" customFormat="false" ht="60" hidden="false" customHeight="true" outlineLevel="0" collapsed="false">
      <c r="A13" s="266" t="n">
        <v>8</v>
      </c>
      <c r="B13" s="266" t="s">
        <v>1004</v>
      </c>
      <c r="C13" s="266" t="s">
        <v>997</v>
      </c>
      <c r="D13" s="266" t="s">
        <v>194</v>
      </c>
      <c r="E13" s="266" t="s">
        <v>1023</v>
      </c>
      <c r="F13" s="266" t="s">
        <v>1024</v>
      </c>
      <c r="G13" s="266" t="s">
        <v>1025</v>
      </c>
      <c r="H13" s="266"/>
      <c r="I13" s="266"/>
      <c r="J13" s="266" t="s">
        <v>1004</v>
      </c>
    </row>
    <row r="14" customFormat="false" ht="60" hidden="false" customHeight="true" outlineLevel="0" collapsed="false">
      <c r="A14" s="266" t="n">
        <v>9</v>
      </c>
      <c r="B14" s="266" t="s">
        <v>1004</v>
      </c>
      <c r="C14" s="266" t="s">
        <v>1026</v>
      </c>
      <c r="D14" s="266" t="s">
        <v>194</v>
      </c>
      <c r="E14" s="266" t="s">
        <v>1027</v>
      </c>
      <c r="F14" s="266" t="s">
        <v>1028</v>
      </c>
      <c r="G14" s="266" t="s">
        <v>1029</v>
      </c>
      <c r="H14" s="266" t="s">
        <v>1030</v>
      </c>
      <c r="I14" s="266" t="s">
        <v>1031</v>
      </c>
      <c r="J14" s="266" t="s">
        <v>1004</v>
      </c>
    </row>
    <row r="15" customFormat="false" ht="60" hidden="false" customHeight="true" outlineLevel="0" collapsed="false">
      <c r="A15" s="266" t="n">
        <v>10</v>
      </c>
      <c r="B15" s="266" t="s">
        <v>1004</v>
      </c>
      <c r="C15" s="266" t="s">
        <v>1026</v>
      </c>
      <c r="D15" s="266" t="s">
        <v>194</v>
      </c>
      <c r="E15" s="266" t="s">
        <v>1032</v>
      </c>
      <c r="F15" s="266" t="s">
        <v>1033</v>
      </c>
      <c r="G15" s="266"/>
      <c r="H15" s="266" t="s">
        <v>1034</v>
      </c>
      <c r="I15" s="266" t="s">
        <v>1035</v>
      </c>
      <c r="J15" s="266" t="s">
        <v>1004</v>
      </c>
    </row>
    <row r="16" customFormat="false" ht="60" hidden="false" customHeight="true" outlineLevel="0" collapsed="false">
      <c r="A16" s="266" t="n">
        <v>11</v>
      </c>
      <c r="B16" s="266" t="s">
        <v>1004</v>
      </c>
      <c r="C16" s="266" t="s">
        <v>1026</v>
      </c>
      <c r="D16" s="266" t="s">
        <v>194</v>
      </c>
      <c r="E16" s="266" t="s">
        <v>1032</v>
      </c>
      <c r="F16" s="266" t="s">
        <v>1036</v>
      </c>
      <c r="G16" s="266"/>
      <c r="H16" s="266" t="s">
        <v>1034</v>
      </c>
      <c r="I16" s="266" t="s">
        <v>1035</v>
      </c>
      <c r="J16" s="266" t="s">
        <v>1004</v>
      </c>
    </row>
    <row r="17" customFormat="false" ht="60" hidden="false" customHeight="true" outlineLevel="0" collapsed="false">
      <c r="A17" s="266" t="n">
        <v>12</v>
      </c>
      <c r="B17" s="266" t="s">
        <v>1004</v>
      </c>
      <c r="C17" s="266" t="s">
        <v>1026</v>
      </c>
      <c r="D17" s="266" t="s">
        <v>194</v>
      </c>
      <c r="E17" s="266" t="s">
        <v>1032</v>
      </c>
      <c r="F17" s="266" t="s">
        <v>1037</v>
      </c>
      <c r="G17" s="266"/>
      <c r="H17" s="266" t="s">
        <v>1034</v>
      </c>
      <c r="I17" s="266" t="s">
        <v>1035</v>
      </c>
      <c r="J17" s="266" t="s">
        <v>1004</v>
      </c>
    </row>
    <row r="18" customFormat="false" ht="60" hidden="false" customHeight="true" outlineLevel="0" collapsed="false">
      <c r="A18" s="266" t="n">
        <v>13</v>
      </c>
      <c r="B18" s="266" t="s">
        <v>1004</v>
      </c>
      <c r="C18" s="266" t="s">
        <v>1038</v>
      </c>
      <c r="D18" s="266" t="s">
        <v>998</v>
      </c>
      <c r="E18" s="266" t="s">
        <v>1039</v>
      </c>
      <c r="F18" s="266" t="s">
        <v>1040</v>
      </c>
      <c r="G18" s="266"/>
      <c r="H18" s="266"/>
      <c r="I18" s="266"/>
      <c r="J18" s="266" t="s">
        <v>1004</v>
      </c>
    </row>
    <row r="19" customFormat="false" ht="60" hidden="false" customHeight="true" outlineLevel="0" collapsed="false">
      <c r="A19" s="266" t="n">
        <v>14</v>
      </c>
      <c r="B19" s="266" t="s">
        <v>1004</v>
      </c>
      <c r="C19" s="266" t="s">
        <v>1041</v>
      </c>
      <c r="D19" s="266" t="s">
        <v>1041</v>
      </c>
      <c r="E19" s="266" t="s">
        <v>998</v>
      </c>
      <c r="F19" s="266" t="s">
        <v>1042</v>
      </c>
      <c r="G19" s="266" t="s">
        <v>1043</v>
      </c>
      <c r="H19" s="266"/>
      <c r="I19" s="266"/>
      <c r="J19" s="266" t="s">
        <v>1004</v>
      </c>
    </row>
    <row r="20" customFormat="false" ht="60" hidden="false" customHeight="true" outlineLevel="0" collapsed="false"/>
    <row r="21" customFormat="false" ht="60" hidden="false" customHeight="true" outlineLevel="0" collapsed="false">
      <c r="A21" s="267" t="s">
        <v>1044</v>
      </c>
      <c r="B21" s="268"/>
      <c r="C21" s="268"/>
      <c r="D21" s="268"/>
      <c r="E21" s="268"/>
      <c r="F21" s="268"/>
      <c r="G21" s="268"/>
      <c r="H21" s="268"/>
      <c r="I21" s="268"/>
      <c r="J21" s="269"/>
    </row>
    <row r="22" customFormat="false" ht="60" hidden="false" customHeight="true" outlineLevel="0" collapsed="false">
      <c r="A22" s="270" t="s">
        <v>1045</v>
      </c>
      <c r="B22" s="41" t="s">
        <v>1046</v>
      </c>
      <c r="C22" s="268"/>
      <c r="D22" s="268"/>
      <c r="E22" s="268"/>
      <c r="F22" s="268"/>
      <c r="G22" s="268"/>
      <c r="H22" s="268"/>
      <c r="I22" s="268"/>
      <c r="J22" s="269"/>
    </row>
    <row r="23" customFormat="false" ht="60" hidden="false" customHeight="true" outlineLevel="0" collapsed="false">
      <c r="A23" s="270" t="s">
        <v>1047</v>
      </c>
      <c r="B23" s="41" t="s">
        <v>987</v>
      </c>
      <c r="C23" s="268"/>
      <c r="D23" s="268"/>
      <c r="E23" s="268"/>
      <c r="F23" s="268"/>
      <c r="G23" s="268"/>
      <c r="H23" s="268"/>
      <c r="I23" s="268"/>
      <c r="J23" s="269"/>
    </row>
    <row r="24" customFormat="false" ht="60" hidden="false" customHeight="true" outlineLevel="0" collapsed="false"/>
    <row r="25" customFormat="false" ht="15" hidden="false" customHeight="true" outlineLevel="0" collapsed="false">
      <c r="A25" s="271" t="s">
        <v>1048</v>
      </c>
      <c r="B25" s="272" t="s">
        <v>1049</v>
      </c>
      <c r="C25" s="268"/>
      <c r="D25" s="268"/>
      <c r="E25" s="268"/>
      <c r="F25" s="268"/>
      <c r="G25" s="268"/>
      <c r="H25" s="268"/>
      <c r="I25" s="268"/>
      <c r="J25" s="269"/>
    </row>
    <row r="26" customFormat="false" ht="27.75" hidden="false" customHeight="true" outlineLevel="0" collapsed="false">
      <c r="A26" s="273"/>
      <c r="B26" s="273"/>
      <c r="C26" s="273"/>
      <c r="D26" s="273"/>
      <c r="E26" s="273"/>
      <c r="F26" s="273"/>
      <c r="G26" s="273"/>
      <c r="H26" s="273"/>
      <c r="I26" s="273"/>
      <c r="J26" s="273"/>
    </row>
    <row r="27" customFormat="false" ht="15" hidden="false" customHeight="true" outlineLevel="0" collapsed="false">
      <c r="A27" s="47" t="s">
        <v>1050</v>
      </c>
      <c r="B27" s="269"/>
      <c r="C27" s="269"/>
      <c r="D27" s="269"/>
      <c r="E27" s="269"/>
      <c r="F27" s="269"/>
      <c r="G27" s="269"/>
      <c r="H27" s="269"/>
      <c r="I27" s="269"/>
      <c r="J27" s="269"/>
    </row>
    <row r="28" customFormat="false" ht="15" hidden="false" customHeight="true" outlineLevel="0" collapsed="false">
      <c r="B28" s="273"/>
      <c r="C28" s="273"/>
      <c r="D28" s="273"/>
      <c r="E28" s="273"/>
      <c r="F28" s="273"/>
      <c r="G28" s="273"/>
      <c r="H28" s="273"/>
      <c r="I28" s="273"/>
      <c r="J28" s="273"/>
    </row>
    <row r="30" customFormat="false" ht="39.75" hidden="false" customHeight="true" outlineLevel="0" collapsed="false">
      <c r="B30" s="273"/>
      <c r="C30" s="273"/>
      <c r="D30" s="273"/>
      <c r="E30" s="273"/>
      <c r="F30" s="273"/>
      <c r="G30" s="273"/>
      <c r="H30" s="273"/>
      <c r="I30" s="273"/>
      <c r="J30" s="273"/>
    </row>
    <row r="32" customFormat="false" ht="15" hidden="false" customHeight="true" outlineLevel="0" collapsed="false">
      <c r="A32" s="273"/>
      <c r="B32" s="273"/>
      <c r="C32" s="273"/>
      <c r="D32" s="273"/>
      <c r="E32" s="273"/>
      <c r="F32" s="273"/>
      <c r="G32" s="273"/>
      <c r="H32" s="273"/>
      <c r="I32" s="273"/>
      <c r="J32" s="273"/>
    </row>
  </sheetData>
  <autoFilter ref="A5:J24"/>
  <mergeCells count="8">
    <mergeCell ref="A1:J1"/>
    <mergeCell ref="A2:J2"/>
    <mergeCell ref="A3:J3"/>
    <mergeCell ref="A26:J26"/>
    <mergeCell ref="B27:J27"/>
    <mergeCell ref="B28:J28"/>
    <mergeCell ref="B30:J30"/>
    <mergeCell ref="A32:J3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2026-03-23T00:56:22Z</dcterms:created>
  <dc:creator>openpyxl</dc:creator>
  <dc:description/>
  <dc:language>en-US</dc:language>
  <cp:lastModifiedBy/>
  <dcterms:modified xsi:type="dcterms:W3CDTF">2026-03-23T04:59:53Z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